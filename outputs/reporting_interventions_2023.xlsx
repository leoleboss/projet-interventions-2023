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_de_bord" sheetId="1" state="visible" r:id="rId1"/>
    <sheet name="donnees_nettoyees" sheetId="2" state="visible" r:id="rId2"/>
    <sheet name="listes_filtres" sheetId="3" state="hidden" r:id="rId3"/>
    <sheet name="calcul_dashboard" sheetId="4" state="hidden" r:id="rId4"/>
  </sheets>
  <definedNames>
    <definedName name="_xlnm._FilterDatabase" localSheetId="1" hidden="1">'donnees_nettoyees'!$A$1:$BS$100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</font>
    <font>
      <b val="1"/>
      <color rgb="00FFFFFF"/>
      <sz val="18"/>
    </font>
    <font>
      <b val="1"/>
      <color rgb="00FFFFFF"/>
    </font>
    <font>
      <b val="1"/>
      <color rgb="00FFFFFF"/>
      <sz val="11"/>
    </font>
    <font>
      <b val="1"/>
      <sz val="12"/>
    </font>
    <font>
      <b val="1"/>
      <sz val="15"/>
    </font>
  </fonts>
  <fills count="5">
    <fill>
      <patternFill/>
    </fill>
    <fill>
      <patternFill patternType="gray125"/>
    </fill>
    <fill>
      <patternFill patternType="solid">
        <fgColor rgb="006AA84F"/>
      </patternFill>
    </fill>
    <fill>
      <patternFill patternType="solid">
        <fgColor rgb="00D9EAD3"/>
      </patternFill>
    </fill>
    <fill>
      <patternFill patternType="solid">
        <fgColor rgb="00F3F3F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6AA84F"/>
      </left>
      <right style="thin">
        <color rgb="006AA84F"/>
      </right>
      <top style="thin">
        <color rgb="006AA84F"/>
      </top>
      <bottom style="thin">
        <color rgb="006AA84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0" fontId="4" fillId="2" borderId="0" pivotButton="0" quotePrefix="0" xfId="0"/>
    <xf numFmtId="0" fontId="5" fillId="3" borderId="2" applyAlignment="1" pivotButton="0" quotePrefix="0" xfId="0">
      <alignment horizontal="center"/>
    </xf>
    <xf numFmtId="0" fontId="1" fillId="4" borderId="2" pivotButton="0" quotePrefix="0" xfId="0"/>
    <xf numFmtId="3" fontId="6" fillId="0" borderId="2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3" fontId="0" fillId="0" borderId="0" pivotButton="0" quotePrefix="0" xfId="0"/>
    <xf numFmtId="164" fontId="6" fillId="0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10 départements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'tableau_de_bord'!B10</f>
            </strRef>
          </tx>
          <spPr>
            <a:ln>
              <a:prstDash val="solid"/>
            </a:ln>
          </spPr>
          <cat>
            <numRef>
              <f>'tableau_de_bord'!$A$11:$A$20</f>
            </numRef>
          </cat>
          <val>
            <numRef>
              <f>'tableau_de_bord'!$B$11:$B$20</f>
            </numRef>
          </val>
        </ser>
        <dLbls>
          <numFmt formatCode="#,##0"/>
          <showLegendKey val="0"/>
          <showVal val="1"/>
          <showCatName val="1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des interventions</a:t>
            </a:r>
          </a:p>
        </rich>
      </tx>
    </title>
    <plotArea>
      <pieChart>
        <varyColors val="1"/>
        <ser>
          <idx val="0"/>
          <order val="0"/>
          <tx>
            <strRef>
              <f>'tableau_de_bord'!E10</f>
            </strRef>
          </tx>
          <spPr>
            <a:ln>
              <a:prstDash val="solid"/>
            </a:ln>
          </spPr>
          <cat>
            <numRef>
              <f>'tableau_de_bord'!$D$11:$D$14</f>
            </numRef>
          </cat>
          <val>
            <numRef>
              <f>'tableau_de_bord'!$E$11:$E$14</f>
            </numRef>
          </val>
        </ser>
        <dLbls>
          <txPr>
            <a:bodyPr/>
            <a:p>
              <a:pPr>
                <a:defRPr b="1">
                  <a:solidFill>
                    <a:srgbClr val="FFFFFF"/>
                  </a:solidFill>
                </a:defRPr>
              </a:pPr>
              <a:r>
                <a:t/>
              </a:r>
            </a:p>
          </txPr>
          <showLegendKey val="0"/>
          <showVal val="0"/>
          <showCatName val="0"/>
          <showSer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24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2" t="inlineStr">
        <is>
          <t>Tableau de bord - Interventions des secours en 2023</t>
        </is>
      </c>
    </row>
    <row r="2"/>
    <row r="4">
      <c r="A4" s="3" t="inlineStr">
        <is>
          <t>Zone de filtres</t>
        </is>
      </c>
    </row>
    <row r="5"/>
    <row r="6">
      <c r="B6" s="4" t="inlineStr">
        <is>
          <t>Filtre région</t>
        </is>
      </c>
      <c r="C6" s="5" t="inlineStr">
        <is>
          <t>Toutes</t>
        </is>
      </c>
      <c r="E6" s="4" t="inlineStr">
        <is>
          <t>Filtre catégorie</t>
        </is>
      </c>
      <c r="F6" s="5" t="inlineStr">
        <is>
          <t>Toutes</t>
        </is>
      </c>
    </row>
    <row r="9">
      <c r="A9" s="6" t="inlineStr">
        <is>
          <t>Top 10 départements</t>
        </is>
      </c>
      <c r="D9" s="6" t="inlineStr">
        <is>
          <t>Grandes catégories</t>
        </is>
      </c>
      <c r="J9" s="7" t="inlineStr">
        <is>
          <t>Total interventions</t>
        </is>
      </c>
      <c r="L9" s="7" t="inlineStr">
        <is>
          <t>Département n°1</t>
        </is>
      </c>
    </row>
    <row r="10">
      <c r="A10" s="8" t="inlineStr">
        <is>
          <t>Département</t>
        </is>
      </c>
      <c r="B10" s="8" t="inlineStr">
        <is>
          <t>Interventions</t>
        </is>
      </c>
      <c r="D10" s="8" t="inlineStr">
        <is>
          <t>Catégorie</t>
        </is>
      </c>
      <c r="E10" s="8" t="inlineStr">
        <is>
          <t>Interventions</t>
        </is>
      </c>
      <c r="J10" s="9">
        <f>SUM(E11:E14)</f>
        <v/>
      </c>
      <c r="L10" s="10">
        <f>A11</f>
        <v/>
      </c>
    </row>
    <row r="11">
      <c r="A11">
        <f>INDEX(calcul_dashboard!$A$2:$A$200,MATCH(B11,calcul_dashboard!$F$2:$F$200,0))</f>
        <v/>
      </c>
      <c r="B11" s="11">
        <f>LARGE(calcul_dashboard!$F$2:$F$200,1)</f>
        <v/>
      </c>
      <c r="D11" t="inlineStr">
        <is>
          <t>Incendies</t>
        </is>
      </c>
      <c r="E11" s="11">
        <f>IF($F$6="Toutes",SUMIFS(donnees_nettoyees!$R$2:$R$200,donnees_nettoyees!$C$2:$C$200,IF($C$6="Toutes","*",$C$6)),IF($F$6=D11,SUMIFS(donnees_nettoyees!$R$2:$R$200,donnees_nettoyees!$C$2:$C$200,IF($C$6="Toutes","*",$C$6)),0))</f>
        <v/>
      </c>
    </row>
    <row r="12">
      <c r="A12">
        <f>INDEX(calcul_dashboard!$A$2:$A$200,MATCH(B12,calcul_dashboard!$F$2:$F$200,0))</f>
        <v/>
      </c>
      <c r="B12" s="11">
        <f>LARGE(calcul_dashboard!$F$2:$F$200,2)</f>
        <v/>
      </c>
      <c r="D12" t="inlineStr">
        <is>
          <t>Secours à personne</t>
        </is>
      </c>
      <c r="E12" s="11">
        <f>IF($F$6="Toutes",SUMIFS(donnees_nettoyees!$AM$2:$AM$200,donnees_nettoyees!$C$2:$C$200,IF($C$6="Toutes","*",$C$6)),IF($F$6=D12,SUMIFS(donnees_nettoyees!$AM$2:$AM$200,donnees_nettoyees!$C$2:$C$200,IF($C$6="Toutes","*",$C$6)),0))</f>
        <v/>
      </c>
    </row>
    <row r="13">
      <c r="A13">
        <f>INDEX(calcul_dashboard!$A$2:$A$200,MATCH(B13,calcul_dashboard!$F$2:$F$200,0))</f>
        <v/>
      </c>
      <c r="B13" s="11">
        <f>LARGE(calcul_dashboard!$F$2:$F$200,3)</f>
        <v/>
      </c>
      <c r="D13" t="inlineStr">
        <is>
          <t>Accidents</t>
        </is>
      </c>
      <c r="E13" s="11">
        <f>IF($F$6="Toutes",SUMIFS(donnees_nettoyees!$AS$2:$AS$200,donnees_nettoyees!$C$2:$C$200,IF($C$6="Toutes","*",$C$6)),IF($F$6=D13,SUMIFS(donnees_nettoyees!$AS$2:$AS$200,donnees_nettoyees!$C$2:$C$200,IF($C$6="Toutes","*",$C$6)),0))</f>
        <v/>
      </c>
      <c r="J13" s="7" t="inlineStr">
        <is>
          <t>Part secours à personne</t>
        </is>
      </c>
      <c r="L13" s="7" t="inlineStr">
        <is>
          <t>Moyenne / département</t>
        </is>
      </c>
    </row>
    <row r="14">
      <c r="A14">
        <f>INDEX(calcul_dashboard!$A$2:$A$200,MATCH(B14,calcul_dashboard!$F$2:$F$200,0))</f>
        <v/>
      </c>
      <c r="B14" s="11">
        <f>LARGE(calcul_dashboard!$F$2:$F$200,4)</f>
        <v/>
      </c>
      <c r="D14" t="inlineStr">
        <is>
          <t>Opérations diverses</t>
        </is>
      </c>
      <c r="E14" s="11">
        <f>IF($F$6="Toutes",SUMIFS(donnees_nettoyees!$BR$2:$BR$200,donnees_nettoyees!$C$2:$C$200,IF($C$6="Toutes","*",$C$6)),IF($F$6=D14,SUMIFS(donnees_nettoyees!$BR$2:$BR$200,donnees_nettoyees!$C$2:$C$200,IF($C$6="Toutes","*",$C$6)),0))</f>
        <v/>
      </c>
      <c r="J14" s="12">
        <f>IF(J10=0,0,E12/J10)</f>
        <v/>
      </c>
      <c r="L14" s="9">
        <f>IF(COUNTIF(B11:B20,"&gt;0")=0,0,J10/COUNTIF(B11:B20,"&gt;0"))</f>
        <v/>
      </c>
    </row>
    <row r="15">
      <c r="A15">
        <f>INDEX(calcul_dashboard!$A$2:$A$200,MATCH(B15,calcul_dashboard!$F$2:$F$200,0))</f>
        <v/>
      </c>
      <c r="B15" s="11">
        <f>LARGE(calcul_dashboard!$F$2:$F$200,5)</f>
        <v/>
      </c>
    </row>
    <row r="16">
      <c r="A16">
        <f>INDEX(calcul_dashboard!$A$2:$A$200,MATCH(B16,calcul_dashboard!$F$2:$F$200,0))</f>
        <v/>
      </c>
      <c r="B16" s="11">
        <f>LARGE(calcul_dashboard!$F$2:$F$200,6)</f>
        <v/>
      </c>
    </row>
    <row r="17">
      <c r="A17">
        <f>INDEX(calcul_dashboard!$A$2:$A$200,MATCH(B17,calcul_dashboard!$F$2:$F$200,0))</f>
        <v/>
      </c>
      <c r="B17" s="11">
        <f>LARGE(calcul_dashboard!$F$2:$F$200,7)</f>
        <v/>
      </c>
    </row>
    <row r="18">
      <c r="A18">
        <f>INDEX(calcul_dashboard!$A$2:$A$200,MATCH(B18,calcul_dashboard!$F$2:$F$200,0))</f>
        <v/>
      </c>
      <c r="B18" s="11">
        <f>LARGE(calcul_dashboard!$F$2:$F$200,8)</f>
        <v/>
      </c>
    </row>
    <row r="19">
      <c r="A19">
        <f>INDEX(calcul_dashboard!$A$2:$A$200,MATCH(B19,calcul_dashboard!$F$2:$F$200,0))</f>
        <v/>
      </c>
      <c r="B19" s="11">
        <f>LARGE(calcul_dashboard!$F$2:$F$200,9)</f>
        <v/>
      </c>
    </row>
    <row r="20">
      <c r="A20">
        <f>INDEX(calcul_dashboard!$A$2:$A$200,MATCH(B20,calcul_dashboard!$F$2:$F$200,0))</f>
        <v/>
      </c>
      <c r="B20" s="11">
        <f>LARGE(calcul_dashboard!$F$2:$F$200,10)</f>
        <v/>
      </c>
    </row>
  </sheetData>
  <mergeCells count="2">
    <mergeCell ref="A1:N2"/>
    <mergeCell ref="A4:N5"/>
  </mergeCells>
  <dataValidations count="2">
    <dataValidation sqref="C6" showDropDown="0" showInputMessage="0" showErrorMessage="0" allowBlank="0" type="list">
      <formula1>'listes_filtres'!$A$2:$A$20</formula1>
    </dataValidation>
    <dataValidation sqref="F6" showDropDown="0" showInputMessage="0" showErrorMessage="0" allowBlank="0" type="list">
      <formula1>'listes_filtres'!$B$2:$B$6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1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ann�e</t>
        </is>
      </c>
      <c r="B1" s="1" t="inlineStr">
        <is>
          <t>zone</t>
        </is>
      </c>
      <c r="C1" s="1" t="inlineStr">
        <is>
          <t>r�gion</t>
        </is>
      </c>
      <c r="D1" s="1" t="inlineStr">
        <is>
          <t>num�ro</t>
        </is>
      </c>
      <c r="E1" s="1" t="inlineStr">
        <is>
          <t>d�partement</t>
        </is>
      </c>
      <c r="F1" s="1" t="inlineStr">
        <is>
          <t>cat�gorie_a</t>
        </is>
      </c>
      <c r="G1" s="1" t="inlineStr">
        <is>
          <t>feux_d'habitations-bureaux</t>
        </is>
      </c>
      <c r="H1" s="1" t="inlineStr">
        <is>
          <t>dont_feux_de_chemin�es</t>
        </is>
      </c>
      <c r="I1" s="1" t="inlineStr">
        <is>
          <t>feux_d'erp_avec_local_�_sommeil</t>
        </is>
      </c>
      <c r="J1" s="1" t="inlineStr">
        <is>
          <t>feux_d'erp_sans_local_�_sommeil</t>
        </is>
      </c>
      <c r="K1" s="1" t="inlineStr">
        <is>
          <t>feux_de_locaux_industriels</t>
        </is>
      </c>
      <c r="L1" s="1" t="inlineStr">
        <is>
          <t>feux_de_locaux_artisanaux</t>
        </is>
      </c>
      <c r="M1" s="1" t="inlineStr">
        <is>
          <t>feux_de_locaux_agricoles</t>
        </is>
      </c>
      <c r="N1" s="1" t="inlineStr">
        <is>
          <t>feux_sur_voie_publique</t>
        </is>
      </c>
      <c r="O1" s="1" t="inlineStr">
        <is>
          <t>feux_de_v�hicules</t>
        </is>
      </c>
      <c r="P1" s="1" t="inlineStr">
        <is>
          <t>feux_de_v�g�tations</t>
        </is>
      </c>
      <c r="Q1" s="1" t="inlineStr">
        <is>
          <t>autres_feux</t>
        </is>
      </c>
      <c r="R1" s="1" t="inlineStr">
        <is>
          <t>incendies</t>
        </is>
      </c>
      <c r="S1" s="1" t="inlineStr">
        <is>
          <t>accidents_sur_lieux_de_travail</t>
        </is>
      </c>
      <c r="T1" s="1" t="inlineStr">
        <is>
          <t>accidents_�_domicile</t>
        </is>
      </c>
      <c r="U1" s="1" t="inlineStr">
        <is>
          <t>accidents_de_sport</t>
        </is>
      </c>
      <c r="V1" s="1" t="inlineStr">
        <is>
          <t>accidents_sur_voie_publique</t>
        </is>
      </c>
      <c r="W1" s="1" t="inlineStr">
        <is>
          <t>secours_en_montagne</t>
        </is>
      </c>
      <c r="X1" s="1" t="inlineStr">
        <is>
          <t>malaises_sur_lieux_de_travail</t>
        </is>
      </c>
      <c r="Y1" s="1" t="inlineStr">
        <is>
          <t>malaises_�_domicile_:_urgence_vitale</t>
        </is>
      </c>
      <c r="Z1" s="1" t="inlineStr">
        <is>
          <t>malaises_�_domicile_:_carence</t>
        </is>
      </c>
      <c r="AA1" s="1" t="inlineStr">
        <is>
          <t>malaises_en_sport</t>
        </is>
      </c>
      <c r="AB1" s="1" t="inlineStr">
        <is>
          <t>malaises_sur_voie_publique</t>
        </is>
      </c>
      <c r="AC1" s="1" t="inlineStr">
        <is>
          <t>autolyses</t>
        </is>
      </c>
      <c r="AD1" s="1" t="inlineStr">
        <is>
          <t>secours_en_piscines_ou_eaux_int�rieures</t>
        </is>
      </c>
      <c r="AE1" s="1" t="inlineStr">
        <is>
          <t>secours_en_mer_(fdsm)</t>
        </is>
      </c>
      <c r="AF1" s="1" t="inlineStr">
        <is>
          <t>intoxications</t>
        </is>
      </c>
      <c r="AG1" s="1" t="inlineStr">
        <is>
          <t>dont_intoxications_au_co</t>
        </is>
      </c>
      <c r="AH1" s="1" t="inlineStr">
        <is>
          <t>autres_sav</t>
        </is>
      </c>
      <c r="AI1" s="1" t="inlineStr">
        <is>
          <t>secours_�_victime</t>
        </is>
      </c>
      <c r="AJ1" s="1" t="inlineStr">
        <is>
          <t>relevage_de_personnes</t>
        </is>
      </c>
      <c r="AK1" s="1" t="inlineStr">
        <is>
          <t>recherche_de_personnes</t>
        </is>
      </c>
      <c r="AL1" s="1" t="inlineStr">
        <is>
          <t>aides_�_personne</t>
        </is>
      </c>
      <c r="AM1" s="1" t="inlineStr">
        <is>
          <t>secours_�_personne</t>
        </is>
      </c>
      <c r="AN1" s="1" t="inlineStr">
        <is>
          <t>accidents_routiers</t>
        </is>
      </c>
      <c r="AO1" s="1" t="inlineStr">
        <is>
          <t>accidents_ferroviaires</t>
        </is>
      </c>
      <c r="AP1" s="1" t="inlineStr">
        <is>
          <t>accidents_a�riens</t>
        </is>
      </c>
      <c r="AQ1" s="1" t="inlineStr">
        <is>
          <t>accidents_de_navigation</t>
        </is>
      </c>
      <c r="AR1" s="1" t="inlineStr">
        <is>
          <t>accidents_de_t�l�portage</t>
        </is>
      </c>
      <c r="AS1" s="1" t="inlineStr">
        <is>
          <t>accidents_de_circulation</t>
        </is>
      </c>
      <c r="AT1" s="1" t="inlineStr">
        <is>
          <t>odeurs_-_fuites_de_gaz</t>
        </is>
      </c>
      <c r="AU1" s="1" t="inlineStr">
        <is>
          <t>odeurs_(autres_que_gaz)</t>
        </is>
      </c>
      <c r="AV1" s="1" t="inlineStr">
        <is>
          <t>fait_dus_�_l'�lectricit�</t>
        </is>
      </c>
      <c r="AW1" s="1" t="inlineStr">
        <is>
          <t>pollutions_-_contaminations</t>
        </is>
      </c>
      <c r="AX1" s="1" t="inlineStr">
        <is>
          <t>autres_risques_technologiques</t>
        </is>
      </c>
      <c r="AY1" s="1" t="inlineStr">
        <is>
          <t>risques_technologiques</t>
        </is>
      </c>
      <c r="AZ1" s="1" t="inlineStr">
        <is>
          <t>fuites_d'eau</t>
        </is>
      </c>
      <c r="BA1" s="1" t="inlineStr">
        <is>
          <t>inondations</t>
        </is>
      </c>
      <c r="BB1" s="1" t="inlineStr">
        <is>
          <t>ouvertures_de_portes</t>
        </is>
      </c>
      <c r="BC1" s="1" t="inlineStr">
        <is>
          <t>recherches_d'objets</t>
        </is>
      </c>
      <c r="BD1" s="1" t="inlineStr">
        <is>
          <t>bruits_suspects</t>
        </is>
      </c>
      <c r="BE1" s="1" t="inlineStr">
        <is>
          <t>protection_des_biens</t>
        </is>
      </c>
      <c r="BF1" s="1" t="inlineStr">
        <is>
          <t>fausses_alertes</t>
        </is>
      </c>
      <c r="BG1" s="1" t="inlineStr">
        <is>
          <t>dont_fausses_alertes_daaf</t>
        </is>
      </c>
      <c r="BH1" s="1" t="inlineStr">
        <is>
          <t>faits_d'animaux_(hors_hym�nopt�res)</t>
        </is>
      </c>
      <c r="BI1" s="1" t="inlineStr">
        <is>
          <t>hym�nopt�res</t>
        </is>
      </c>
      <c r="BJ1" s="1" t="inlineStr">
        <is>
          <t>d�gagements_de_voies_publiques</t>
        </is>
      </c>
      <c r="BK1" s="1" t="inlineStr">
        <is>
          <t>nettoyages_de_voies_publiques</t>
        </is>
      </c>
      <c r="BL1" s="1" t="inlineStr">
        <is>
          <t>�boulements</t>
        </is>
      </c>
      <c r="BM1" s="1" t="inlineStr">
        <is>
          <t>d�poses_d'objets</t>
        </is>
      </c>
      <c r="BN1" s="1" t="inlineStr">
        <is>
          <t>piquets_de_s�curit�_-_surveillances</t>
        </is>
      </c>
      <c r="BO1" s="1" t="inlineStr">
        <is>
          <t>engins_explosifs</t>
        </is>
      </c>
      <c r="BP1" s="1" t="inlineStr">
        <is>
          <t>autres_op�rations_diverses</t>
        </is>
      </c>
      <c r="BQ1" s="1" t="inlineStr">
        <is>
          <t>divers</t>
        </is>
      </c>
      <c r="BR1" s="1" t="inlineStr">
        <is>
          <t>op�rations_diverses</t>
        </is>
      </c>
      <c r="BS1" s="1" t="inlineStr">
        <is>
          <t>total_interventions</t>
        </is>
      </c>
    </row>
    <row r="2">
      <c r="A2" s="11" t="n">
        <v>2023</v>
      </c>
      <c r="B2" t="inlineStr">
        <is>
          <t>Sud</t>
        </is>
      </c>
      <c r="C2" t="inlineStr">
        <is>
          <t>Provence-Alpes-C�te d'Azur</t>
        </is>
      </c>
      <c r="D2" t="inlineStr">
        <is>
          <t>BMPM</t>
        </is>
      </c>
      <c r="E2" t="inlineStr">
        <is>
          <t>Bouches-du-Rh�ne</t>
        </is>
      </c>
      <c r="G2" s="11" t="n">
        <v>774</v>
      </c>
      <c r="H2" s="11" t="n">
        <v>9</v>
      </c>
      <c r="I2" s="11" t="n">
        <v>35</v>
      </c>
      <c r="J2" s="11" t="n">
        <v>176</v>
      </c>
      <c r="K2" s="11" t="n">
        <v>51</v>
      </c>
      <c r="L2" s="11" t="n">
        <v>0</v>
      </c>
      <c r="M2" s="11" t="n">
        <v>0</v>
      </c>
      <c r="N2" s="11" t="n">
        <v>2536</v>
      </c>
      <c r="O2" s="11" t="n">
        <v>1326</v>
      </c>
      <c r="P2" s="11" t="n">
        <v>488</v>
      </c>
      <c r="Q2" s="11" t="n">
        <v>0</v>
      </c>
      <c r="R2" s="11" t="n">
        <v>5386</v>
      </c>
      <c r="S2" s="11" t="n">
        <v>3091</v>
      </c>
      <c r="T2" s="11" t="n">
        <v>8774</v>
      </c>
      <c r="U2" s="11" t="n">
        <v>1359</v>
      </c>
      <c r="V2" s="11" t="n">
        <v>13074</v>
      </c>
      <c r="W2" s="11" t="n">
        <v>132</v>
      </c>
      <c r="X2" s="11" t="n">
        <v>2808</v>
      </c>
      <c r="Y2" s="11" t="n">
        <v>27748</v>
      </c>
      <c r="Z2" s="11" t="n">
        <v>3135</v>
      </c>
      <c r="AA2" s="11" t="n">
        <v>244</v>
      </c>
      <c r="AB2" s="11" t="n">
        <v>19542</v>
      </c>
      <c r="AC2" s="11" t="n">
        <v>1544</v>
      </c>
      <c r="AD2" s="11" t="n">
        <v>13</v>
      </c>
      <c r="AE2" s="11" t="n">
        <v>68</v>
      </c>
      <c r="AF2" s="11" t="n">
        <v>1997</v>
      </c>
      <c r="AG2" s="11" t="n">
        <v>12</v>
      </c>
      <c r="AH2" s="11" t="n">
        <v>449</v>
      </c>
      <c r="AI2" s="11" t="n">
        <v>83978</v>
      </c>
      <c r="AJ2" s="11" t="n">
        <v>8291</v>
      </c>
      <c r="AK2" s="11" t="n">
        <v>1077</v>
      </c>
      <c r="AL2" s="11" t="n">
        <v>9368</v>
      </c>
      <c r="AM2" s="11" t="n">
        <v>93346</v>
      </c>
      <c r="AN2" s="11" t="n">
        <v>7502</v>
      </c>
      <c r="AO2" s="11" t="n">
        <v>18</v>
      </c>
      <c r="AP2" s="11" t="n">
        <v>0</v>
      </c>
      <c r="AQ2" s="11" t="n">
        <v>81</v>
      </c>
      <c r="AR2" s="11" t="n">
        <v>0</v>
      </c>
      <c r="AS2" s="11" t="n">
        <v>7601</v>
      </c>
      <c r="AT2" s="11" t="n">
        <v>964</v>
      </c>
      <c r="AU2" s="11" t="n">
        <v>269</v>
      </c>
      <c r="AV2" s="11" t="n">
        <v>525</v>
      </c>
      <c r="AW2" s="11" t="n">
        <v>59</v>
      </c>
      <c r="AX2" s="11" t="n">
        <v>0</v>
      </c>
      <c r="AY2" s="11" t="n">
        <v>1817</v>
      </c>
      <c r="AZ2" s="11" t="n">
        <v>1891</v>
      </c>
      <c r="BA2" s="11" t="n">
        <v>31</v>
      </c>
      <c r="BB2" s="11" t="n">
        <v>45</v>
      </c>
      <c r="BC2" s="11" t="n">
        <v>1376</v>
      </c>
      <c r="BD2" s="11" t="n">
        <v>468</v>
      </c>
      <c r="BE2" s="11" t="n">
        <v>3811</v>
      </c>
      <c r="BF2" s="11" t="n">
        <v>4302</v>
      </c>
      <c r="BG2" s="11" t="n">
        <v>0</v>
      </c>
      <c r="BH2" s="11" t="n">
        <v>486</v>
      </c>
      <c r="BI2" s="11" t="n">
        <v>251</v>
      </c>
      <c r="BJ2" s="11" t="n">
        <v>577</v>
      </c>
      <c r="BK2" s="11" t="n">
        <v>137</v>
      </c>
      <c r="BL2" s="11" t="n">
        <v>12</v>
      </c>
      <c r="BM2" s="11" t="n">
        <v>0</v>
      </c>
      <c r="BN2" s="11" t="n">
        <v>1867</v>
      </c>
      <c r="BO2" s="11" t="n">
        <v>0</v>
      </c>
      <c r="BP2" s="11" t="n">
        <v>724</v>
      </c>
      <c r="BQ2" s="11" t="n">
        <v>8356</v>
      </c>
      <c r="BR2" s="11" t="n">
        <v>12167</v>
      </c>
      <c r="BS2" s="11" t="n">
        <v>120317</v>
      </c>
    </row>
    <row r="3">
      <c r="A3" s="11" t="n">
        <v>2023</v>
      </c>
      <c r="B3" t="inlineStr">
        <is>
          <t>�le-de-France</t>
        </is>
      </c>
      <c r="C3" t="inlineStr">
        <is>
          <t>�le-de-France</t>
        </is>
      </c>
      <c r="D3" t="inlineStr">
        <is>
          <t>BSPP</t>
        </is>
      </c>
      <c r="E3" t="inlineStr">
        <is>
          <t>Paris</t>
        </is>
      </c>
      <c r="G3" s="11" t="n">
        <v>3763</v>
      </c>
      <c r="H3" s="11" t="n">
        <v>37</v>
      </c>
      <c r="I3" s="11" t="n">
        <v>118</v>
      </c>
      <c r="J3" s="11" t="n">
        <v>650</v>
      </c>
      <c r="K3" s="11" t="n">
        <v>133</v>
      </c>
      <c r="L3" s="11" t="n">
        <v>12</v>
      </c>
      <c r="M3" s="11" t="n">
        <v>14</v>
      </c>
      <c r="N3" s="11" t="n">
        <v>5120</v>
      </c>
      <c r="O3" s="11" t="n">
        <v>3384</v>
      </c>
      <c r="P3" s="11" t="n">
        <v>382</v>
      </c>
      <c r="Q3" s="11" t="n">
        <v>1970</v>
      </c>
      <c r="R3" s="11" t="n">
        <v>15546</v>
      </c>
      <c r="S3" s="11" t="n">
        <v>6539</v>
      </c>
      <c r="T3" s="11" t="n">
        <v>22633</v>
      </c>
      <c r="U3" s="11" t="n">
        <v>3326</v>
      </c>
      <c r="V3" s="11" t="n">
        <v>29708</v>
      </c>
      <c r="W3" s="11" t="n">
        <v>0</v>
      </c>
      <c r="X3" s="11" t="n">
        <v>19154</v>
      </c>
      <c r="Y3" s="11" t="n">
        <v>18086</v>
      </c>
      <c r="Z3" s="11" t="n">
        <v>126930</v>
      </c>
      <c r="AA3" s="11" t="n">
        <v>2427</v>
      </c>
      <c r="AB3" s="11" t="n">
        <v>83550</v>
      </c>
      <c r="AC3" s="11" t="n">
        <v>0</v>
      </c>
      <c r="AD3" s="11" t="n">
        <v>375</v>
      </c>
      <c r="AE3" s="11" t="n">
        <v>0</v>
      </c>
      <c r="AF3" s="11" t="n">
        <v>33059</v>
      </c>
      <c r="AG3" s="11" t="n">
        <v>76</v>
      </c>
      <c r="AH3" s="11" t="n">
        <v>39353</v>
      </c>
      <c r="AI3" s="11" t="n">
        <v>385140</v>
      </c>
      <c r="AJ3" s="11" t="n">
        <v>18773</v>
      </c>
      <c r="AK3" s="11" t="n">
        <v>26780</v>
      </c>
      <c r="AL3" s="11" t="n">
        <v>45553</v>
      </c>
      <c r="AM3" s="11" t="n">
        <v>430693</v>
      </c>
      <c r="AN3" s="11" t="n">
        <v>25737</v>
      </c>
      <c r="AO3" s="11" t="n">
        <v>40</v>
      </c>
      <c r="AP3" s="11" t="n">
        <v>4</v>
      </c>
      <c r="AQ3" s="11" t="n">
        <v>20</v>
      </c>
      <c r="AR3" s="11" t="n">
        <v>0</v>
      </c>
      <c r="AS3" s="11" t="n">
        <v>25801</v>
      </c>
      <c r="AT3" s="11" t="n">
        <v>2787</v>
      </c>
      <c r="AU3" s="11" t="n">
        <v>9</v>
      </c>
      <c r="AV3" s="11" t="n">
        <v>934</v>
      </c>
      <c r="AW3" s="11" t="n">
        <v>145</v>
      </c>
      <c r="AX3" s="11" t="n">
        <v>117</v>
      </c>
      <c r="AY3" s="11" t="n">
        <v>3992</v>
      </c>
      <c r="AZ3" s="11" t="n">
        <v>498</v>
      </c>
      <c r="BA3" s="11" t="n">
        <v>315</v>
      </c>
      <c r="BB3" s="11" t="n">
        <v>0</v>
      </c>
      <c r="BC3" s="11" t="n">
        <v>18</v>
      </c>
      <c r="BD3" s="11" t="n">
        <v>163</v>
      </c>
      <c r="BE3" s="11" t="n">
        <v>994</v>
      </c>
      <c r="BF3" s="11" t="n">
        <v>1413</v>
      </c>
      <c r="BG3" s="11" t="n">
        <v>0</v>
      </c>
      <c r="BH3" s="11" t="n">
        <v>1033</v>
      </c>
      <c r="BI3" s="11" t="n">
        <v>259</v>
      </c>
      <c r="BJ3" s="11" t="n">
        <v>36</v>
      </c>
      <c r="BK3" s="11" t="n">
        <v>234</v>
      </c>
      <c r="BL3" s="11" t="n">
        <v>41</v>
      </c>
      <c r="BM3" s="11" t="n">
        <v>994</v>
      </c>
      <c r="BN3" s="11" t="n">
        <v>0</v>
      </c>
      <c r="BO3" s="11" t="n">
        <v>17</v>
      </c>
      <c r="BP3" s="11" t="n">
        <v>14344</v>
      </c>
      <c r="BQ3" s="11" t="n">
        <v>18371</v>
      </c>
      <c r="BR3" s="11" t="n">
        <v>19365</v>
      </c>
      <c r="BS3" s="11" t="n">
        <v>495397</v>
      </c>
    </row>
    <row r="4">
      <c r="A4" s="11" t="n">
        <v>2023</v>
      </c>
      <c r="B4" t="inlineStr">
        <is>
          <t>Sud-est</t>
        </is>
      </c>
      <c r="C4" t="inlineStr">
        <is>
          <t>Auvergne-Rh�ne-Alpes</t>
        </is>
      </c>
      <c r="D4" t="inlineStr">
        <is>
          <t>1</t>
        </is>
      </c>
      <c r="E4" t="inlineStr">
        <is>
          <t>Ain</t>
        </is>
      </c>
      <c r="F4" t="inlineStr">
        <is>
          <t>B</t>
        </is>
      </c>
      <c r="G4" s="11" t="n">
        <v>507</v>
      </c>
      <c r="H4" s="11" t="n">
        <v>198</v>
      </c>
      <c r="I4" s="11" t="n">
        <v>22</v>
      </c>
      <c r="J4" s="11" t="n">
        <v>19</v>
      </c>
      <c r="K4" s="11" t="n">
        <v>66</v>
      </c>
      <c r="L4" s="11" t="n">
        <v>16</v>
      </c>
      <c r="M4" s="11" t="n">
        <v>27</v>
      </c>
      <c r="N4" s="11" t="n">
        <v>599</v>
      </c>
      <c r="O4" s="11" t="n">
        <v>513</v>
      </c>
      <c r="P4" s="11" t="n">
        <v>499</v>
      </c>
      <c r="Q4" s="11" t="n">
        <v>85</v>
      </c>
      <c r="R4" s="11" t="n">
        <v>2353</v>
      </c>
      <c r="S4" s="11" t="n">
        <v>1425</v>
      </c>
      <c r="T4" s="11" t="n">
        <v>2908</v>
      </c>
      <c r="U4" s="11" t="n">
        <v>991</v>
      </c>
      <c r="V4" s="11" t="n">
        <v>2779</v>
      </c>
      <c r="W4" s="11" t="n">
        <v>82</v>
      </c>
      <c r="X4" s="11" t="n">
        <v>0</v>
      </c>
      <c r="Y4" s="11" t="n">
        <v>6445</v>
      </c>
      <c r="Z4" s="11" t="n">
        <v>5253</v>
      </c>
      <c r="AA4" s="11" t="n">
        <v>199</v>
      </c>
      <c r="AB4" s="11" t="n">
        <v>6332</v>
      </c>
      <c r="AC4" s="11" t="n">
        <v>890</v>
      </c>
      <c r="AD4" s="11" t="n">
        <v>38</v>
      </c>
      <c r="AE4" s="11" t="n">
        <v>0</v>
      </c>
      <c r="AF4" s="11" t="n">
        <v>11</v>
      </c>
      <c r="AG4" s="11" t="n">
        <v>8</v>
      </c>
      <c r="AH4" s="11" t="n">
        <v>460</v>
      </c>
      <c r="AI4" s="11" t="n">
        <v>27813</v>
      </c>
      <c r="AJ4" s="11" t="n">
        <v>2706</v>
      </c>
      <c r="AK4" s="11" t="n">
        <v>99</v>
      </c>
      <c r="AL4" s="11" t="n">
        <v>2805</v>
      </c>
      <c r="AM4" s="11" t="n">
        <v>30618</v>
      </c>
      <c r="AN4" s="11" t="n">
        <v>2948</v>
      </c>
      <c r="AO4" s="11" t="n">
        <v>6</v>
      </c>
      <c r="AP4" s="11" t="n">
        <v>2</v>
      </c>
      <c r="AQ4" s="11" t="n">
        <v>7</v>
      </c>
      <c r="AR4" s="11" t="n">
        <v>0</v>
      </c>
      <c r="AS4" s="11" t="n">
        <v>2963</v>
      </c>
      <c r="AT4" s="11" t="n">
        <v>238</v>
      </c>
      <c r="AU4" s="11" t="n">
        <v>127</v>
      </c>
      <c r="AV4" s="11" t="n">
        <v>34</v>
      </c>
      <c r="AW4" s="11" t="n">
        <v>26</v>
      </c>
      <c r="AX4" s="11" t="n">
        <v>8</v>
      </c>
      <c r="AY4" s="11" t="n">
        <v>433</v>
      </c>
      <c r="AZ4" s="11" t="n">
        <v>243</v>
      </c>
      <c r="BA4" s="11" t="n">
        <v>472</v>
      </c>
      <c r="BB4" s="11" t="n">
        <v>134</v>
      </c>
      <c r="BC4" s="11" t="n">
        <v>13</v>
      </c>
      <c r="BD4" s="11" t="n">
        <v>10</v>
      </c>
      <c r="BE4" s="11" t="n">
        <v>872</v>
      </c>
      <c r="BF4" s="11" t="n">
        <v>2733</v>
      </c>
      <c r="BG4" s="11" t="n">
        <v>59</v>
      </c>
      <c r="BH4" s="11" t="n">
        <v>515</v>
      </c>
      <c r="BI4" s="11" t="n">
        <v>1573</v>
      </c>
      <c r="BJ4" s="11" t="n">
        <v>140</v>
      </c>
      <c r="BK4" s="11" t="n">
        <v>16</v>
      </c>
      <c r="BL4" s="11" t="n">
        <v>29</v>
      </c>
      <c r="BM4" s="11" t="n">
        <v>114</v>
      </c>
      <c r="BN4" s="11" t="n">
        <v>3</v>
      </c>
      <c r="BO4" s="11" t="n">
        <v>3</v>
      </c>
      <c r="BP4" s="11" t="n">
        <v>1026</v>
      </c>
      <c r="BQ4" s="11" t="n">
        <v>6152</v>
      </c>
      <c r="BR4" s="11" t="n">
        <v>7024</v>
      </c>
      <c r="BS4" s="11" t="n">
        <v>43391</v>
      </c>
    </row>
    <row r="5">
      <c r="A5" s="11" t="n">
        <v>2023</v>
      </c>
      <c r="B5" t="inlineStr">
        <is>
          <t>Nord</t>
        </is>
      </c>
      <c r="C5" t="inlineStr">
        <is>
          <t>Hauts-de-France</t>
        </is>
      </c>
      <c r="D5" t="inlineStr">
        <is>
          <t>2</t>
        </is>
      </c>
      <c r="E5" t="inlineStr">
        <is>
          <t>Aisne</t>
        </is>
      </c>
      <c r="F5" t="inlineStr">
        <is>
          <t>B</t>
        </is>
      </c>
      <c r="G5" s="11" t="n">
        <v>931</v>
      </c>
      <c r="H5" s="11" t="n">
        <v>316</v>
      </c>
      <c r="I5" s="11" t="n">
        <v>24</v>
      </c>
      <c r="J5" s="11" t="n">
        <v>56</v>
      </c>
      <c r="K5" s="11" t="n">
        <v>59</v>
      </c>
      <c r="L5" s="11" t="n">
        <v>1</v>
      </c>
      <c r="M5" s="11" t="n">
        <v>17</v>
      </c>
      <c r="N5" s="11" t="n">
        <v>649</v>
      </c>
      <c r="O5" s="11" t="n">
        <v>469</v>
      </c>
      <c r="P5" s="11" t="n">
        <v>410</v>
      </c>
      <c r="Q5" s="11" t="n">
        <v>223</v>
      </c>
      <c r="R5" s="11" t="n">
        <v>2839</v>
      </c>
      <c r="S5" s="11" t="n">
        <v>257</v>
      </c>
      <c r="T5" s="11" t="n">
        <v>1182</v>
      </c>
      <c r="U5" s="11" t="n">
        <v>503</v>
      </c>
      <c r="V5" s="11" t="n">
        <v>2903</v>
      </c>
      <c r="W5" s="11" t="n">
        <v>0</v>
      </c>
      <c r="X5" s="11" t="n">
        <v>141</v>
      </c>
      <c r="Y5" s="11" t="n">
        <v>8609</v>
      </c>
      <c r="Z5" s="11" t="n">
        <v>1708</v>
      </c>
      <c r="AA5" s="11" t="n">
        <v>25</v>
      </c>
      <c r="AB5" s="11" t="n">
        <v>4536</v>
      </c>
      <c r="AC5" s="11" t="n">
        <v>420</v>
      </c>
      <c r="AD5" s="11" t="n">
        <v>29</v>
      </c>
      <c r="AE5" s="11" t="n">
        <v>0</v>
      </c>
      <c r="AF5" s="11" t="n">
        <v>142</v>
      </c>
      <c r="AG5" s="11" t="n">
        <v>0</v>
      </c>
      <c r="AH5" s="11" t="n">
        <v>1524</v>
      </c>
      <c r="AI5" s="11" t="n">
        <v>21979</v>
      </c>
      <c r="AJ5" s="11" t="n">
        <v>4187</v>
      </c>
      <c r="AK5" s="11" t="n">
        <v>17</v>
      </c>
      <c r="AL5" s="11" t="n">
        <v>4204</v>
      </c>
      <c r="AM5" s="11" t="n">
        <v>26183</v>
      </c>
      <c r="AN5" s="11" t="n">
        <v>2103</v>
      </c>
      <c r="AO5" s="11" t="n">
        <v>2</v>
      </c>
      <c r="AP5" s="11" t="n">
        <v>3</v>
      </c>
      <c r="AQ5" s="11" t="n">
        <v>0</v>
      </c>
      <c r="AR5" s="11" t="n">
        <v>0</v>
      </c>
      <c r="AS5" s="11" t="n">
        <v>2108</v>
      </c>
      <c r="AT5" s="11" t="n">
        <v>289</v>
      </c>
      <c r="AU5" s="11" t="n">
        <v>170</v>
      </c>
      <c r="AV5" s="11" t="n">
        <v>0</v>
      </c>
      <c r="AW5" s="11" t="n">
        <v>28</v>
      </c>
      <c r="AX5" s="11" t="n">
        <v>6</v>
      </c>
      <c r="AY5" s="11" t="n">
        <v>493</v>
      </c>
      <c r="AZ5" s="11" t="n">
        <v>110</v>
      </c>
      <c r="BA5" s="11" t="n">
        <v>172</v>
      </c>
      <c r="BB5" s="11" t="n">
        <v>1163</v>
      </c>
      <c r="BC5" s="11" t="n">
        <v>0</v>
      </c>
      <c r="BD5" s="11" t="n">
        <v>0</v>
      </c>
      <c r="BE5" s="11" t="n">
        <v>1445</v>
      </c>
      <c r="BF5" s="11" t="n">
        <v>0</v>
      </c>
      <c r="BG5" s="11" t="n">
        <v>0</v>
      </c>
      <c r="BH5" s="11" t="n">
        <v>468</v>
      </c>
      <c r="BI5" s="11" t="n">
        <v>1914</v>
      </c>
      <c r="BJ5" s="11" t="n">
        <v>92</v>
      </c>
      <c r="BK5" s="11" t="n">
        <v>0</v>
      </c>
      <c r="BL5" s="11" t="n">
        <v>3</v>
      </c>
      <c r="BM5" s="11" t="n">
        <v>198</v>
      </c>
      <c r="BN5" s="11" t="n">
        <v>0</v>
      </c>
      <c r="BO5" s="11" t="n">
        <v>1</v>
      </c>
      <c r="BP5" s="11" t="n">
        <v>346</v>
      </c>
      <c r="BQ5" s="11" t="n">
        <v>3022</v>
      </c>
      <c r="BR5" s="11" t="n">
        <v>4467</v>
      </c>
      <c r="BS5" s="11" t="n">
        <v>36090</v>
      </c>
    </row>
    <row r="6">
      <c r="A6" s="11" t="n">
        <v>2023</v>
      </c>
      <c r="B6" t="inlineStr">
        <is>
          <t>Sud-est</t>
        </is>
      </c>
      <c r="C6" t="inlineStr">
        <is>
          <t>Auvergne-Rh�ne-Alpes</t>
        </is>
      </c>
      <c r="D6" t="inlineStr">
        <is>
          <t>3</t>
        </is>
      </c>
      <c r="E6" t="inlineStr">
        <is>
          <t>Allier</t>
        </is>
      </c>
      <c r="F6" t="inlineStr">
        <is>
          <t>C</t>
        </is>
      </c>
      <c r="G6" s="11" t="n">
        <v>450</v>
      </c>
      <c r="H6" s="11" t="n">
        <v>0</v>
      </c>
      <c r="I6" s="11" t="n">
        <v>11</v>
      </c>
      <c r="J6" s="11" t="n">
        <v>19</v>
      </c>
      <c r="K6" s="11" t="n">
        <v>25</v>
      </c>
      <c r="L6" s="11" t="n">
        <v>36</v>
      </c>
      <c r="M6" s="11" t="n">
        <v>25</v>
      </c>
      <c r="N6" s="11" t="n">
        <v>103</v>
      </c>
      <c r="O6" s="11" t="n">
        <v>238</v>
      </c>
      <c r="P6" s="11" t="n">
        <v>236</v>
      </c>
      <c r="Q6" s="11" t="n">
        <v>501</v>
      </c>
      <c r="R6" s="11" t="n">
        <v>1644</v>
      </c>
      <c r="S6" s="11" t="n">
        <v>7</v>
      </c>
      <c r="T6" s="11" t="n">
        <v>3026</v>
      </c>
      <c r="U6" s="11" t="n">
        <v>0</v>
      </c>
      <c r="V6" s="11" t="n">
        <v>1883</v>
      </c>
      <c r="W6" s="11" t="n">
        <v>0</v>
      </c>
      <c r="X6" s="11" t="n">
        <v>68</v>
      </c>
      <c r="Y6" s="11" t="n">
        <v>6182</v>
      </c>
      <c r="Z6" s="11" t="n">
        <v>3026</v>
      </c>
      <c r="AA6" s="11" t="n">
        <v>0</v>
      </c>
      <c r="AB6" s="11" t="n">
        <v>3291</v>
      </c>
      <c r="AC6" s="11" t="n">
        <v>467</v>
      </c>
      <c r="AD6" s="11" t="n">
        <v>7</v>
      </c>
      <c r="AE6" s="11" t="n">
        <v>0</v>
      </c>
      <c r="AF6" s="11" t="n">
        <v>81</v>
      </c>
      <c r="AG6" s="11" t="n">
        <v>0</v>
      </c>
      <c r="AH6" s="11" t="n">
        <v>567</v>
      </c>
      <c r="AI6" s="11" t="n">
        <v>18605</v>
      </c>
      <c r="AJ6" s="11" t="n">
        <v>5509</v>
      </c>
      <c r="AK6" s="11" t="n">
        <v>0</v>
      </c>
      <c r="AL6" s="11" t="n">
        <v>5509</v>
      </c>
      <c r="AM6" s="11" t="n">
        <v>24114</v>
      </c>
      <c r="AN6" s="11" t="n">
        <v>1735</v>
      </c>
      <c r="AO6" s="11" t="n">
        <v>1</v>
      </c>
      <c r="AP6" s="11" t="n">
        <v>0</v>
      </c>
      <c r="AQ6" s="11" t="n">
        <v>1</v>
      </c>
      <c r="AR6" s="11" t="n">
        <v>0</v>
      </c>
      <c r="AS6" s="11" t="n">
        <v>1737</v>
      </c>
      <c r="AT6" s="11" t="n">
        <v>170</v>
      </c>
      <c r="AU6" s="11" t="n">
        <v>49</v>
      </c>
      <c r="AV6" s="11" t="n">
        <v>0</v>
      </c>
      <c r="AW6" s="11" t="n">
        <v>10</v>
      </c>
      <c r="AX6" s="11" t="n">
        <v>1</v>
      </c>
      <c r="AY6" s="11" t="n">
        <v>230</v>
      </c>
      <c r="AZ6" s="11" t="n">
        <v>224</v>
      </c>
      <c r="BA6" s="11" t="n">
        <v>194</v>
      </c>
      <c r="BB6" s="11" t="n">
        <v>31</v>
      </c>
      <c r="BC6" s="11" t="n">
        <v>0</v>
      </c>
      <c r="BD6" s="11" t="n">
        <v>0</v>
      </c>
      <c r="BE6" s="11" t="n">
        <v>449</v>
      </c>
      <c r="BF6" s="11" t="n">
        <v>0</v>
      </c>
      <c r="BG6" s="11" t="n">
        <v>0</v>
      </c>
      <c r="BH6" s="11" t="n">
        <v>179</v>
      </c>
      <c r="BI6" s="11" t="n">
        <v>12</v>
      </c>
      <c r="BJ6" s="11" t="n">
        <v>184</v>
      </c>
      <c r="BK6" s="11" t="n">
        <v>15</v>
      </c>
      <c r="BL6" s="11" t="n">
        <v>1</v>
      </c>
      <c r="BM6" s="11" t="n">
        <v>142</v>
      </c>
      <c r="BN6" s="11" t="n">
        <v>26</v>
      </c>
      <c r="BO6" s="11" t="n">
        <v>0</v>
      </c>
      <c r="BP6" s="11" t="n">
        <v>805</v>
      </c>
      <c r="BQ6" s="11" t="n">
        <v>1364</v>
      </c>
      <c r="BR6" s="11" t="n">
        <v>1813</v>
      </c>
      <c r="BS6" s="11" t="n">
        <v>29538</v>
      </c>
    </row>
    <row r="7">
      <c r="A7" s="11" t="n">
        <v>2023</v>
      </c>
      <c r="B7" t="inlineStr">
        <is>
          <t>Sud</t>
        </is>
      </c>
      <c r="C7" t="inlineStr">
        <is>
          <t>Provence-Alpes-C�te d'Azur</t>
        </is>
      </c>
      <c r="D7" t="inlineStr">
        <is>
          <t>4</t>
        </is>
      </c>
      <c r="E7" t="inlineStr">
        <is>
          <t>Alpes-de-Haute-Provence</t>
        </is>
      </c>
      <c r="F7" t="inlineStr">
        <is>
          <t>C</t>
        </is>
      </c>
      <c r="G7" s="11" t="n">
        <v>288</v>
      </c>
      <c r="H7" s="11" t="n">
        <v>120</v>
      </c>
      <c r="I7" s="11" t="n">
        <v>15</v>
      </c>
      <c r="J7" s="11" t="n">
        <v>27</v>
      </c>
      <c r="K7" s="11" t="n">
        <v>16</v>
      </c>
      <c r="L7" s="11" t="n">
        <v>0</v>
      </c>
      <c r="M7" s="11" t="n">
        <v>6</v>
      </c>
      <c r="N7" s="11" t="n">
        <v>168</v>
      </c>
      <c r="O7" s="11" t="n">
        <v>114</v>
      </c>
      <c r="P7" s="11" t="n">
        <v>353</v>
      </c>
      <c r="Q7" s="11" t="n">
        <v>57</v>
      </c>
      <c r="R7" s="11" t="n">
        <v>1044</v>
      </c>
      <c r="S7" s="11" t="n">
        <v>161</v>
      </c>
      <c r="T7" s="11" t="n">
        <v>1170</v>
      </c>
      <c r="U7" s="11" t="n">
        <v>315</v>
      </c>
      <c r="V7" s="11" t="n">
        <v>1035</v>
      </c>
      <c r="W7" s="11" t="n">
        <v>105</v>
      </c>
      <c r="X7" s="11" t="n">
        <v>102</v>
      </c>
      <c r="Y7" s="11" t="n">
        <v>2099</v>
      </c>
      <c r="Z7" s="11" t="n">
        <v>1301</v>
      </c>
      <c r="AA7" s="11" t="n">
        <v>0</v>
      </c>
      <c r="AB7" s="11" t="n">
        <v>1299</v>
      </c>
      <c r="AC7" s="11" t="n">
        <v>351</v>
      </c>
      <c r="AD7" s="11" t="n">
        <v>10</v>
      </c>
      <c r="AE7" s="11" t="n">
        <v>0</v>
      </c>
      <c r="AF7" s="11" t="n">
        <v>73</v>
      </c>
      <c r="AG7" s="11" t="n">
        <v>12</v>
      </c>
      <c r="AH7" s="11" t="n">
        <v>437</v>
      </c>
      <c r="AI7" s="11" t="n">
        <v>8458</v>
      </c>
      <c r="AJ7" s="11" t="n">
        <v>911</v>
      </c>
      <c r="AK7" s="11" t="n">
        <v>0</v>
      </c>
      <c r="AL7" s="11" t="n">
        <v>911</v>
      </c>
      <c r="AM7" s="11" t="n">
        <v>9369</v>
      </c>
      <c r="AN7" s="11" t="n">
        <v>1007</v>
      </c>
      <c r="AO7" s="11" t="n">
        <v>0</v>
      </c>
      <c r="AP7" s="11" t="n">
        <v>35</v>
      </c>
      <c r="AQ7" s="11" t="n">
        <v>0</v>
      </c>
      <c r="AR7" s="11" t="n">
        <v>1</v>
      </c>
      <c r="AS7" s="11" t="n">
        <v>1043</v>
      </c>
      <c r="AT7" s="11" t="n">
        <v>39</v>
      </c>
      <c r="AU7" s="11" t="n">
        <v>71</v>
      </c>
      <c r="AV7" s="11" t="n">
        <v>0</v>
      </c>
      <c r="AW7" s="11" t="n">
        <v>10</v>
      </c>
      <c r="AX7" s="11" t="n">
        <v>3</v>
      </c>
      <c r="AY7" s="11" t="n">
        <v>123</v>
      </c>
      <c r="AZ7" s="11" t="n">
        <v>215</v>
      </c>
      <c r="BA7" s="11" t="n">
        <v>11</v>
      </c>
      <c r="BB7" s="11" t="n">
        <v>30</v>
      </c>
      <c r="BC7" s="11" t="n">
        <v>13</v>
      </c>
      <c r="BD7" s="11" t="n">
        <v>0</v>
      </c>
      <c r="BE7" s="11" t="n">
        <v>269</v>
      </c>
      <c r="BF7" s="11" t="n">
        <v>18</v>
      </c>
      <c r="BG7" s="11" t="n">
        <v>18</v>
      </c>
      <c r="BH7" s="11" t="n">
        <v>250</v>
      </c>
      <c r="BI7" s="11" t="n">
        <v>69</v>
      </c>
      <c r="BJ7" s="11" t="n">
        <v>96</v>
      </c>
      <c r="BK7" s="11" t="n">
        <v>6</v>
      </c>
      <c r="BL7" s="11" t="n">
        <v>5</v>
      </c>
      <c r="BM7" s="11" t="n">
        <v>0</v>
      </c>
      <c r="BN7" s="11" t="n">
        <v>6</v>
      </c>
      <c r="BO7" s="11" t="n">
        <v>35</v>
      </c>
      <c r="BP7" s="11" t="n">
        <v>249</v>
      </c>
      <c r="BQ7" s="11" t="n">
        <v>734</v>
      </c>
      <c r="BR7" s="11" t="n">
        <v>1003</v>
      </c>
      <c r="BS7" s="11" t="n">
        <v>12582</v>
      </c>
    </row>
    <row r="8">
      <c r="A8" s="11" t="n">
        <v>2023</v>
      </c>
      <c r="B8" t="inlineStr">
        <is>
          <t>Sud</t>
        </is>
      </c>
      <c r="C8" t="inlineStr">
        <is>
          <t>Provence-Alpes-C�te d'Azur</t>
        </is>
      </c>
      <c r="D8" t="inlineStr">
        <is>
          <t>5</t>
        </is>
      </c>
      <c r="E8" t="inlineStr">
        <is>
          <t>Hautes-Alpes</t>
        </is>
      </c>
      <c r="F8" t="inlineStr">
        <is>
          <t>C</t>
        </is>
      </c>
      <c r="G8" s="11" t="n">
        <v>280</v>
      </c>
      <c r="H8" s="11" t="n">
        <v>116</v>
      </c>
      <c r="I8" s="11" t="n">
        <v>0</v>
      </c>
      <c r="J8" s="11" t="n">
        <v>21</v>
      </c>
      <c r="K8" s="11" t="n">
        <v>4</v>
      </c>
      <c r="L8" s="11" t="n">
        <v>0</v>
      </c>
      <c r="M8" s="11" t="n">
        <v>9</v>
      </c>
      <c r="N8" s="11" t="n">
        <v>137</v>
      </c>
      <c r="O8" s="11" t="n">
        <v>64</v>
      </c>
      <c r="P8" s="11" t="n">
        <v>187</v>
      </c>
      <c r="Q8" s="11" t="n">
        <v>24</v>
      </c>
      <c r="R8" s="11" t="n">
        <v>726</v>
      </c>
      <c r="S8" s="11" t="n">
        <v>237</v>
      </c>
      <c r="T8" s="11" t="n">
        <v>280</v>
      </c>
      <c r="U8" s="11" t="n">
        <v>465</v>
      </c>
      <c r="V8" s="11" t="n">
        <v>1469</v>
      </c>
      <c r="W8" s="11" t="n">
        <v>100</v>
      </c>
      <c r="X8" s="11" t="n">
        <v>172</v>
      </c>
      <c r="Y8" s="11" t="n">
        <v>2063</v>
      </c>
      <c r="Z8" s="11" t="n">
        <v>314</v>
      </c>
      <c r="AA8" s="11" t="n">
        <v>0</v>
      </c>
      <c r="AB8" s="11" t="n">
        <v>1577</v>
      </c>
      <c r="AC8" s="11" t="n">
        <v>237</v>
      </c>
      <c r="AD8" s="11" t="n">
        <v>5</v>
      </c>
      <c r="AE8" s="11" t="n">
        <v>0</v>
      </c>
      <c r="AF8" s="11" t="n">
        <v>10</v>
      </c>
      <c r="AG8" s="11" t="n">
        <v>7</v>
      </c>
      <c r="AH8" s="11" t="n">
        <v>99</v>
      </c>
      <c r="AI8" s="11" t="n">
        <v>7028</v>
      </c>
      <c r="AJ8" s="11" t="n">
        <v>1022</v>
      </c>
      <c r="AK8" s="11" t="n">
        <v>9</v>
      </c>
      <c r="AL8" s="11" t="n">
        <v>1031</v>
      </c>
      <c r="AM8" s="11" t="n">
        <v>8059</v>
      </c>
      <c r="AN8" s="11" t="n">
        <v>794</v>
      </c>
      <c r="AO8" s="11" t="n">
        <v>0</v>
      </c>
      <c r="AP8" s="11" t="n">
        <v>3</v>
      </c>
      <c r="AQ8" s="11" t="n">
        <v>15</v>
      </c>
      <c r="AR8" s="11" t="n">
        <v>0</v>
      </c>
      <c r="AS8" s="11" t="n">
        <v>812</v>
      </c>
      <c r="AT8" s="11" t="n">
        <v>67</v>
      </c>
      <c r="AU8" s="11" t="n">
        <v>50</v>
      </c>
      <c r="AV8" s="11" t="n">
        <v>12</v>
      </c>
      <c r="AW8" s="11" t="n">
        <v>11</v>
      </c>
      <c r="AX8" s="11" t="n">
        <v>0</v>
      </c>
      <c r="AY8" s="11" t="n">
        <v>140</v>
      </c>
      <c r="AZ8" s="11" t="n">
        <v>61</v>
      </c>
      <c r="BA8" s="11" t="n">
        <v>219</v>
      </c>
      <c r="BB8" s="11" t="n">
        <v>174</v>
      </c>
      <c r="BC8" s="11" t="n">
        <v>0</v>
      </c>
      <c r="BD8" s="11" t="n">
        <v>0</v>
      </c>
      <c r="BE8" s="11" t="n">
        <v>454</v>
      </c>
      <c r="BF8" s="11" t="n">
        <v>0</v>
      </c>
      <c r="BG8" s="11" t="n">
        <v>0</v>
      </c>
      <c r="BH8" s="11" t="n">
        <v>279</v>
      </c>
      <c r="BI8" s="11" t="n">
        <v>64</v>
      </c>
      <c r="BJ8" s="11" t="n">
        <v>68</v>
      </c>
      <c r="BK8" s="11" t="n">
        <v>1</v>
      </c>
      <c r="BL8" s="11" t="n">
        <v>4</v>
      </c>
      <c r="BM8" s="11" t="n">
        <v>0</v>
      </c>
      <c r="BN8" s="11" t="n">
        <v>196</v>
      </c>
      <c r="BO8" s="11" t="n">
        <v>0</v>
      </c>
      <c r="BP8" s="11" t="n">
        <v>14</v>
      </c>
      <c r="BQ8" s="11" t="n">
        <v>626</v>
      </c>
      <c r="BR8" s="11" t="n">
        <v>1080</v>
      </c>
      <c r="BS8" s="11" t="n">
        <v>10817</v>
      </c>
    </row>
    <row r="9">
      <c r="A9" s="11" t="n">
        <v>2023</v>
      </c>
      <c r="B9" t="inlineStr">
        <is>
          <t>Sud</t>
        </is>
      </c>
      <c r="C9" t="inlineStr">
        <is>
          <t>Provence-Alpes-C�te d'Azur</t>
        </is>
      </c>
      <c r="D9" t="inlineStr">
        <is>
          <t>6</t>
        </is>
      </c>
      <c r="E9" t="inlineStr">
        <is>
          <t>Alpes-Maritimes</t>
        </is>
      </c>
      <c r="F9" t="inlineStr">
        <is>
          <t>A</t>
        </is>
      </c>
      <c r="G9" s="11" t="n">
        <v>645</v>
      </c>
      <c r="H9" s="11" t="n">
        <v>86</v>
      </c>
      <c r="I9" s="11" t="n">
        <v>14</v>
      </c>
      <c r="J9" s="11" t="n">
        <v>80</v>
      </c>
      <c r="K9" s="11" t="n">
        <v>25</v>
      </c>
      <c r="L9" s="11" t="n">
        <v>73</v>
      </c>
      <c r="M9" s="11" t="n">
        <v>7</v>
      </c>
      <c r="N9" s="11" t="n">
        <v>725</v>
      </c>
      <c r="O9" s="11" t="n">
        <v>546</v>
      </c>
      <c r="P9" s="11" t="n">
        <v>887</v>
      </c>
      <c r="Q9" s="11" t="n">
        <v>252</v>
      </c>
      <c r="R9" s="11" t="n">
        <v>3254</v>
      </c>
      <c r="S9" s="11" t="n">
        <v>2002</v>
      </c>
      <c r="T9" s="11" t="n">
        <v>10208</v>
      </c>
      <c r="U9" s="11" t="n">
        <v>79</v>
      </c>
      <c r="V9" s="11" t="n">
        <v>13458</v>
      </c>
      <c r="W9" s="11" t="n">
        <v>2</v>
      </c>
      <c r="X9" s="11" t="n">
        <v>1455</v>
      </c>
      <c r="Y9" s="11" t="n">
        <v>82</v>
      </c>
      <c r="Z9" s="11" t="n">
        <v>26054</v>
      </c>
      <c r="AA9" s="11" t="n">
        <v>0</v>
      </c>
      <c r="AB9" s="11" t="n">
        <v>16186</v>
      </c>
      <c r="AC9" s="11" t="n">
        <v>2648</v>
      </c>
      <c r="AD9" s="11" t="n">
        <v>31</v>
      </c>
      <c r="AE9" s="11" t="n">
        <v>122</v>
      </c>
      <c r="AF9" s="11" t="n">
        <v>69</v>
      </c>
      <c r="AG9" s="11" t="n">
        <v>58</v>
      </c>
      <c r="AH9" s="11" t="n">
        <v>732</v>
      </c>
      <c r="AI9" s="11" t="n">
        <v>73128</v>
      </c>
      <c r="AJ9" s="11" t="n">
        <v>4819</v>
      </c>
      <c r="AK9" s="11" t="n">
        <v>147</v>
      </c>
      <c r="AL9" s="11" t="n">
        <v>4966</v>
      </c>
      <c r="AM9" s="11" t="n">
        <v>78094</v>
      </c>
      <c r="AN9" s="11" t="n">
        <v>7330</v>
      </c>
      <c r="AO9" s="11" t="n">
        <v>16</v>
      </c>
      <c r="AP9" s="11" t="n">
        <v>124</v>
      </c>
      <c r="AQ9" s="11" t="n">
        <v>18</v>
      </c>
      <c r="AR9" s="11" t="n">
        <v>9</v>
      </c>
      <c r="AS9" s="11" t="n">
        <v>7497</v>
      </c>
      <c r="AT9" s="11" t="n">
        <v>712</v>
      </c>
      <c r="AU9" s="11" t="n">
        <v>637</v>
      </c>
      <c r="AV9" s="11" t="n">
        <v>0</v>
      </c>
      <c r="AW9" s="11" t="n">
        <v>7</v>
      </c>
      <c r="AX9" s="11" t="n">
        <v>61</v>
      </c>
      <c r="AY9" s="11" t="n">
        <v>1417</v>
      </c>
      <c r="AZ9" s="11" t="n">
        <v>0</v>
      </c>
      <c r="BA9" s="11" t="n">
        <v>1214</v>
      </c>
      <c r="BB9" s="11" t="n">
        <v>1328</v>
      </c>
      <c r="BC9" s="11" t="n">
        <v>603</v>
      </c>
      <c r="BD9" s="11" t="n">
        <v>5403</v>
      </c>
      <c r="BE9" s="11" t="n">
        <v>8548</v>
      </c>
      <c r="BF9" s="11" t="n">
        <v>229</v>
      </c>
      <c r="BG9" s="11" t="n">
        <v>0</v>
      </c>
      <c r="BH9" s="11" t="n">
        <v>863</v>
      </c>
      <c r="BI9" s="11" t="n">
        <v>212</v>
      </c>
      <c r="BJ9" s="11" t="n">
        <v>404</v>
      </c>
      <c r="BK9" s="11" t="n">
        <v>187</v>
      </c>
      <c r="BL9" s="11" t="n">
        <v>84</v>
      </c>
      <c r="BM9" s="11" t="n">
        <v>189</v>
      </c>
      <c r="BN9" s="11" t="n">
        <v>7</v>
      </c>
      <c r="BO9" s="11" t="n">
        <v>6</v>
      </c>
      <c r="BP9" s="11" t="n">
        <v>1629</v>
      </c>
      <c r="BQ9" s="11" t="n">
        <v>3810</v>
      </c>
      <c r="BR9" s="11" t="n">
        <v>12358</v>
      </c>
      <c r="BS9" s="11" t="n">
        <v>102620</v>
      </c>
    </row>
    <row r="10">
      <c r="A10" s="11" t="n">
        <v>2023</v>
      </c>
      <c r="B10" t="inlineStr">
        <is>
          <t>Sud-est</t>
        </is>
      </c>
      <c r="C10" t="inlineStr">
        <is>
          <t>Auvergne-Rh�ne-Alpes</t>
        </is>
      </c>
      <c r="D10" t="inlineStr">
        <is>
          <t>7</t>
        </is>
      </c>
      <c r="E10" t="inlineStr">
        <is>
          <t>Ard�che</t>
        </is>
      </c>
      <c r="F10" t="inlineStr">
        <is>
          <t>C</t>
        </is>
      </c>
      <c r="G10" s="11" t="n">
        <v>186</v>
      </c>
      <c r="H10" s="11" t="n">
        <v>157</v>
      </c>
      <c r="I10" s="11" t="n">
        <v>4</v>
      </c>
      <c r="J10" s="11" t="n">
        <v>14</v>
      </c>
      <c r="K10" s="11" t="n">
        <v>42</v>
      </c>
      <c r="L10" s="11" t="n">
        <v>6</v>
      </c>
      <c r="M10" s="11" t="n">
        <v>6</v>
      </c>
      <c r="N10" s="11" t="n">
        <v>276</v>
      </c>
      <c r="O10" s="11" t="n">
        <v>182</v>
      </c>
      <c r="P10" s="11" t="n">
        <v>533</v>
      </c>
      <c r="Q10" s="11" t="n">
        <v>90</v>
      </c>
      <c r="R10" s="11" t="n">
        <v>1339</v>
      </c>
      <c r="S10" s="11" t="n">
        <v>17</v>
      </c>
      <c r="T10" s="11" t="n">
        <v>11710</v>
      </c>
      <c r="U10" s="11" t="n">
        <v>0</v>
      </c>
      <c r="V10" s="11" t="n">
        <v>234</v>
      </c>
      <c r="W10" s="11" t="n">
        <v>0</v>
      </c>
      <c r="X10" s="11" t="n">
        <v>0</v>
      </c>
      <c r="Y10" s="11" t="n">
        <v>3939</v>
      </c>
      <c r="Z10" s="11" t="n">
        <v>2713</v>
      </c>
      <c r="AA10" s="11" t="n">
        <v>0</v>
      </c>
      <c r="AB10" s="11" t="n">
        <v>4824</v>
      </c>
      <c r="AC10" s="11" t="n">
        <v>971</v>
      </c>
      <c r="AD10" s="11" t="n">
        <v>39</v>
      </c>
      <c r="AE10" s="11" t="n">
        <v>0</v>
      </c>
      <c r="AF10" s="11" t="n">
        <v>17</v>
      </c>
      <c r="AG10" s="11" t="n">
        <v>17</v>
      </c>
      <c r="AH10" s="11" t="n">
        <v>0</v>
      </c>
      <c r="AI10" s="11" t="n">
        <v>24464</v>
      </c>
      <c r="AJ10" s="11" t="n">
        <v>2138</v>
      </c>
      <c r="AK10" s="11" t="n">
        <v>18</v>
      </c>
      <c r="AL10" s="11" t="n">
        <v>2156</v>
      </c>
      <c r="AM10" s="11" t="n">
        <v>26620</v>
      </c>
      <c r="AN10" s="11" t="n">
        <v>1799</v>
      </c>
      <c r="AO10" s="11" t="n">
        <v>0</v>
      </c>
      <c r="AP10" s="11" t="n">
        <v>0</v>
      </c>
      <c r="AQ10" s="11" t="n">
        <v>0</v>
      </c>
      <c r="AR10" s="11" t="n">
        <v>0</v>
      </c>
      <c r="AS10" s="11" t="n">
        <v>1799</v>
      </c>
      <c r="AT10" s="11" t="n">
        <v>209</v>
      </c>
      <c r="AU10" s="11" t="n">
        <v>20</v>
      </c>
      <c r="AV10" s="11" t="n">
        <v>99</v>
      </c>
      <c r="AW10" s="11" t="n">
        <v>23</v>
      </c>
      <c r="AX10" s="11" t="n">
        <v>0</v>
      </c>
      <c r="AY10" s="11" t="n">
        <v>351</v>
      </c>
      <c r="AZ10" s="11" t="n">
        <v>390</v>
      </c>
      <c r="BA10" s="11" t="n">
        <v>0</v>
      </c>
      <c r="BB10" s="11" t="n">
        <v>56</v>
      </c>
      <c r="BC10" s="11" t="n">
        <v>0</v>
      </c>
      <c r="BD10" s="11" t="n">
        <v>0</v>
      </c>
      <c r="BE10" s="11" t="n">
        <v>446</v>
      </c>
      <c r="BF10" s="11" t="n">
        <v>176</v>
      </c>
      <c r="BG10" s="11" t="n">
        <v>88</v>
      </c>
      <c r="BH10" s="11" t="n">
        <v>293</v>
      </c>
      <c r="BI10" s="11" t="n">
        <v>50</v>
      </c>
      <c r="BJ10" s="11" t="n">
        <v>100</v>
      </c>
      <c r="BK10" s="11" t="n">
        <v>8</v>
      </c>
      <c r="BL10" s="11" t="n">
        <v>14</v>
      </c>
      <c r="BM10" s="11" t="n">
        <v>0</v>
      </c>
      <c r="BN10" s="11" t="n">
        <v>0</v>
      </c>
      <c r="BO10" s="11" t="n">
        <v>2</v>
      </c>
      <c r="BP10" s="11" t="n">
        <v>220</v>
      </c>
      <c r="BQ10" s="11" t="n">
        <v>863</v>
      </c>
      <c r="BR10" s="11" t="n">
        <v>1309</v>
      </c>
      <c r="BS10" s="11" t="n">
        <v>31418</v>
      </c>
    </row>
    <row r="11">
      <c r="A11" s="11" t="n">
        <v>2023</v>
      </c>
      <c r="B11" t="inlineStr">
        <is>
          <t>Est</t>
        </is>
      </c>
      <c r="C11" t="inlineStr">
        <is>
          <t>Grand Est</t>
        </is>
      </c>
      <c r="D11" t="inlineStr">
        <is>
          <t>8</t>
        </is>
      </c>
      <c r="E11" t="inlineStr">
        <is>
          <t>Ardennes</t>
        </is>
      </c>
      <c r="F11" t="inlineStr">
        <is>
          <t>C</t>
        </is>
      </c>
      <c r="G11" s="11" t="n">
        <v>446</v>
      </c>
      <c r="H11" s="11" t="n">
        <v>235</v>
      </c>
      <c r="I11" s="11" t="n">
        <v>9</v>
      </c>
      <c r="J11" s="11" t="n">
        <v>13</v>
      </c>
      <c r="K11" s="11" t="n">
        <v>19</v>
      </c>
      <c r="L11" s="11" t="n">
        <v>6</v>
      </c>
      <c r="M11" s="11" t="n">
        <v>47</v>
      </c>
      <c r="N11" s="11" t="n">
        <v>422</v>
      </c>
      <c r="O11" s="11" t="n">
        <v>127</v>
      </c>
      <c r="P11" s="11" t="n">
        <v>225</v>
      </c>
      <c r="Q11" s="11" t="n">
        <v>102</v>
      </c>
      <c r="R11" s="11" t="n">
        <v>1416</v>
      </c>
      <c r="S11" s="11" t="n">
        <v>313</v>
      </c>
      <c r="T11" s="11" t="n">
        <v>3501</v>
      </c>
      <c r="U11" s="11" t="n">
        <v>367</v>
      </c>
      <c r="V11" s="11" t="n">
        <v>1729</v>
      </c>
      <c r="W11" s="11" t="n">
        <v>0</v>
      </c>
      <c r="X11" s="11" t="n">
        <v>211</v>
      </c>
      <c r="Y11" s="11" t="n">
        <v>4058</v>
      </c>
      <c r="Z11" s="11" t="n">
        <v>728</v>
      </c>
      <c r="AA11" s="11" t="n">
        <v>41</v>
      </c>
      <c r="AB11" s="11" t="n">
        <v>2715</v>
      </c>
      <c r="AC11" s="11" t="n">
        <v>325</v>
      </c>
      <c r="AD11" s="11" t="n">
        <v>18</v>
      </c>
      <c r="AE11" s="11" t="n">
        <v>0</v>
      </c>
      <c r="AF11" s="11" t="n">
        <v>25</v>
      </c>
      <c r="AG11" s="11" t="n">
        <v>16</v>
      </c>
      <c r="AH11" s="11" t="n">
        <v>28</v>
      </c>
      <c r="AI11" s="11" t="n">
        <v>14059</v>
      </c>
      <c r="AJ11" s="11" t="n">
        <v>41</v>
      </c>
      <c r="AK11" s="11" t="n">
        <v>3</v>
      </c>
      <c r="AL11" s="11" t="n">
        <v>44</v>
      </c>
      <c r="AM11" s="11" t="n">
        <v>14103</v>
      </c>
      <c r="AN11" s="11" t="n">
        <v>952</v>
      </c>
      <c r="AO11" s="11" t="n">
        <v>1</v>
      </c>
      <c r="AP11" s="11" t="n">
        <v>1</v>
      </c>
      <c r="AQ11" s="11" t="n">
        <v>0</v>
      </c>
      <c r="AR11" s="11" t="n">
        <v>0</v>
      </c>
      <c r="AS11" s="11" t="n">
        <v>954</v>
      </c>
      <c r="AT11" s="11" t="n">
        <v>94</v>
      </c>
      <c r="AU11" s="11" t="n">
        <v>107</v>
      </c>
      <c r="AV11" s="11" t="n">
        <v>51</v>
      </c>
      <c r="AW11" s="11" t="n">
        <v>19</v>
      </c>
      <c r="AX11" s="11" t="n">
        <v>43</v>
      </c>
      <c r="AY11" s="11" t="n">
        <v>314</v>
      </c>
      <c r="AZ11" s="11" t="n">
        <v>212</v>
      </c>
      <c r="BA11" s="11" t="n">
        <v>62</v>
      </c>
      <c r="BB11" s="11" t="n">
        <v>36</v>
      </c>
      <c r="BC11" s="11" t="n">
        <v>0</v>
      </c>
      <c r="BD11" s="11" t="n">
        <v>1</v>
      </c>
      <c r="BE11" s="11" t="n">
        <v>311</v>
      </c>
      <c r="BF11" s="11" t="n">
        <v>427</v>
      </c>
      <c r="BG11" s="11" t="n">
        <v>59</v>
      </c>
      <c r="BH11" s="11" t="n">
        <v>149</v>
      </c>
      <c r="BI11" s="11" t="n">
        <v>191</v>
      </c>
      <c r="BJ11" s="11" t="n">
        <v>17</v>
      </c>
      <c r="BK11" s="11" t="n">
        <v>0</v>
      </c>
      <c r="BL11" s="11" t="n">
        <v>6</v>
      </c>
      <c r="BM11" s="11" t="n">
        <v>22</v>
      </c>
      <c r="BN11" s="11" t="n">
        <v>16</v>
      </c>
      <c r="BO11" s="11" t="n">
        <v>1</v>
      </c>
      <c r="BP11" s="11" t="n">
        <v>256</v>
      </c>
      <c r="BQ11" s="11" t="n">
        <v>1085</v>
      </c>
      <c r="BR11" s="11" t="n">
        <v>1396</v>
      </c>
      <c r="BS11" s="11" t="n">
        <v>18183</v>
      </c>
    </row>
    <row r="12">
      <c r="A12" s="11" t="n">
        <v>2023</v>
      </c>
      <c r="B12" t="inlineStr">
        <is>
          <t>Sud</t>
        </is>
      </c>
      <c r="C12" t="inlineStr">
        <is>
          <t>Occitanie</t>
        </is>
      </c>
      <c r="D12" t="inlineStr">
        <is>
          <t>9</t>
        </is>
      </c>
      <c r="E12" t="inlineStr">
        <is>
          <t>Ari�ge</t>
        </is>
      </c>
      <c r="F12" t="inlineStr">
        <is>
          <t>C</t>
        </is>
      </c>
      <c r="G12" s="11" t="n">
        <v>223</v>
      </c>
      <c r="H12" s="11" t="n">
        <v>131</v>
      </c>
      <c r="I12" s="11" t="n">
        <v>1</v>
      </c>
      <c r="J12" s="11" t="n">
        <v>6</v>
      </c>
      <c r="K12" s="11" t="n">
        <v>10</v>
      </c>
      <c r="L12" s="11" t="n">
        <v>0</v>
      </c>
      <c r="M12" s="11" t="n">
        <v>11</v>
      </c>
      <c r="N12" s="11" t="n">
        <v>66</v>
      </c>
      <c r="O12" s="11" t="n">
        <v>108</v>
      </c>
      <c r="P12" s="11" t="n">
        <v>236</v>
      </c>
      <c r="Q12" s="11" t="n">
        <v>198</v>
      </c>
      <c r="R12" s="11" t="n">
        <v>859</v>
      </c>
      <c r="S12" s="11" t="n">
        <v>150</v>
      </c>
      <c r="T12" s="11" t="n">
        <v>774</v>
      </c>
      <c r="U12" s="11" t="n">
        <v>194</v>
      </c>
      <c r="V12" s="11" t="n">
        <v>952</v>
      </c>
      <c r="W12" s="11" t="n">
        <v>25</v>
      </c>
      <c r="X12" s="11" t="n">
        <v>102</v>
      </c>
      <c r="Y12" s="11" t="n">
        <v>1063</v>
      </c>
      <c r="Z12" s="11" t="n">
        <v>1267</v>
      </c>
      <c r="AA12" s="11" t="n">
        <v>9</v>
      </c>
      <c r="AB12" s="11" t="n">
        <v>1118</v>
      </c>
      <c r="AC12" s="11" t="n">
        <v>83</v>
      </c>
      <c r="AD12" s="11" t="n">
        <v>6</v>
      </c>
      <c r="AE12" s="11" t="n">
        <v>0</v>
      </c>
      <c r="AF12" s="11" t="n">
        <v>119</v>
      </c>
      <c r="AG12" s="11" t="n">
        <v>5</v>
      </c>
      <c r="AH12" s="11" t="n">
        <v>623</v>
      </c>
      <c r="AI12" s="11" t="n">
        <v>6485</v>
      </c>
      <c r="AJ12" s="11" t="n">
        <v>1386</v>
      </c>
      <c r="AK12" s="11" t="n">
        <v>2</v>
      </c>
      <c r="AL12" s="11" t="n">
        <v>1388</v>
      </c>
      <c r="AM12" s="11" t="n">
        <v>7873</v>
      </c>
      <c r="AN12" s="11" t="n">
        <v>723</v>
      </c>
      <c r="AO12" s="11" t="n">
        <v>2</v>
      </c>
      <c r="AP12" s="11" t="n">
        <v>1</v>
      </c>
      <c r="AQ12" s="11" t="n">
        <v>0</v>
      </c>
      <c r="AR12" s="11" t="n">
        <v>0</v>
      </c>
      <c r="AS12" s="11" t="n">
        <v>726</v>
      </c>
      <c r="AT12" s="11" t="n">
        <v>50</v>
      </c>
      <c r="AU12" s="11" t="n">
        <v>0</v>
      </c>
      <c r="AV12" s="11" t="n">
        <v>45</v>
      </c>
      <c r="AW12" s="11" t="n">
        <v>11</v>
      </c>
      <c r="AX12" s="11" t="n">
        <v>6</v>
      </c>
      <c r="AY12" s="11" t="n">
        <v>112</v>
      </c>
      <c r="AZ12" s="11" t="n">
        <v>85</v>
      </c>
      <c r="BA12" s="11" t="n">
        <v>57</v>
      </c>
      <c r="BB12" s="11" t="n">
        <v>21</v>
      </c>
      <c r="BC12" s="11" t="n">
        <v>0</v>
      </c>
      <c r="BD12" s="11" t="n">
        <v>0</v>
      </c>
      <c r="BE12" s="11" t="n">
        <v>163</v>
      </c>
      <c r="BF12" s="11" t="n">
        <v>0</v>
      </c>
      <c r="BG12" s="11" t="n">
        <v>0</v>
      </c>
      <c r="BH12" s="11" t="n">
        <v>123</v>
      </c>
      <c r="BI12" s="11" t="n">
        <v>91</v>
      </c>
      <c r="BJ12" s="11" t="n">
        <v>0</v>
      </c>
      <c r="BK12" s="11" t="n">
        <v>0</v>
      </c>
      <c r="BL12" s="11" t="n">
        <v>0</v>
      </c>
      <c r="BM12" s="11" t="n">
        <v>0</v>
      </c>
      <c r="BN12" s="11" t="n">
        <v>0</v>
      </c>
      <c r="BO12" s="11" t="n">
        <v>0</v>
      </c>
      <c r="BP12" s="11" t="n">
        <v>182</v>
      </c>
      <c r="BQ12" s="11" t="n">
        <v>396</v>
      </c>
      <c r="BR12" s="11" t="n">
        <v>559</v>
      </c>
      <c r="BS12" s="11" t="n">
        <v>10129</v>
      </c>
    </row>
    <row r="13">
      <c r="A13" s="11" t="n">
        <v>2023</v>
      </c>
      <c r="B13" t="inlineStr">
        <is>
          <t>Est</t>
        </is>
      </c>
      <c r="C13" t="inlineStr">
        <is>
          <t>Grand Est</t>
        </is>
      </c>
      <c r="D13" t="inlineStr">
        <is>
          <t>10</t>
        </is>
      </c>
      <c r="E13" t="inlineStr">
        <is>
          <t>Aube</t>
        </is>
      </c>
      <c r="F13" t="inlineStr">
        <is>
          <t>C</t>
        </is>
      </c>
      <c r="G13" s="11" t="n">
        <v>463</v>
      </c>
      <c r="H13" s="11" t="n">
        <v>175</v>
      </c>
      <c r="I13" s="11" t="n">
        <v>9</v>
      </c>
      <c r="J13" s="11" t="n">
        <v>14</v>
      </c>
      <c r="K13" s="11" t="n">
        <v>19</v>
      </c>
      <c r="L13" s="11" t="n">
        <v>0</v>
      </c>
      <c r="M13" s="11" t="n">
        <v>15</v>
      </c>
      <c r="N13" s="11" t="n">
        <v>172</v>
      </c>
      <c r="O13" s="11" t="n">
        <v>256</v>
      </c>
      <c r="P13" s="11" t="n">
        <v>383</v>
      </c>
      <c r="Q13" s="11" t="n">
        <v>359</v>
      </c>
      <c r="R13" s="11" t="n">
        <v>1690</v>
      </c>
      <c r="S13" s="11" t="n">
        <v>0</v>
      </c>
      <c r="T13" s="11" t="n">
        <v>0</v>
      </c>
      <c r="U13" s="11" t="n">
        <v>0</v>
      </c>
      <c r="V13" s="11" t="n">
        <v>1437</v>
      </c>
      <c r="W13" s="11" t="n">
        <v>0</v>
      </c>
      <c r="X13" s="11" t="n">
        <v>0</v>
      </c>
      <c r="Y13" s="11" t="n">
        <v>562</v>
      </c>
      <c r="Z13" s="11" t="n">
        <v>670</v>
      </c>
      <c r="AA13" s="11" t="n">
        <v>0</v>
      </c>
      <c r="AB13" s="11" t="n">
        <v>1526</v>
      </c>
      <c r="AC13" s="11" t="n">
        <v>507</v>
      </c>
      <c r="AD13" s="11" t="n">
        <v>12</v>
      </c>
      <c r="AE13" s="11" t="n">
        <v>0</v>
      </c>
      <c r="AF13" s="11" t="n">
        <v>59</v>
      </c>
      <c r="AG13" s="11" t="n">
        <v>18</v>
      </c>
      <c r="AH13" s="11" t="n">
        <v>7533</v>
      </c>
      <c r="AI13" s="11" t="n">
        <v>12306</v>
      </c>
      <c r="AJ13" s="11" t="n">
        <v>0</v>
      </c>
      <c r="AK13" s="11" t="n">
        <v>0</v>
      </c>
      <c r="AL13" s="11" t="n">
        <v>0</v>
      </c>
      <c r="AM13" s="11" t="n">
        <v>12306</v>
      </c>
      <c r="AN13" s="11" t="n">
        <v>1305</v>
      </c>
      <c r="AO13" s="11" t="n">
        <v>2</v>
      </c>
      <c r="AP13" s="11" t="n">
        <v>3</v>
      </c>
      <c r="AQ13" s="11" t="n">
        <v>1</v>
      </c>
      <c r="AR13" s="11" t="n">
        <v>0</v>
      </c>
      <c r="AS13" s="11" t="n">
        <v>1311</v>
      </c>
      <c r="AT13" s="11" t="n">
        <v>162</v>
      </c>
      <c r="AU13" s="11" t="n">
        <v>80</v>
      </c>
      <c r="AV13" s="11" t="n">
        <v>119</v>
      </c>
      <c r="AW13" s="11" t="n">
        <v>15</v>
      </c>
      <c r="AX13" s="11" t="n">
        <v>3</v>
      </c>
      <c r="AY13" s="11" t="n">
        <v>379</v>
      </c>
      <c r="AZ13" s="11" t="n">
        <v>552</v>
      </c>
      <c r="BA13" s="11" t="n">
        <v>0</v>
      </c>
      <c r="BB13" s="11" t="n">
        <v>167</v>
      </c>
      <c r="BC13" s="11" t="n">
        <v>0</v>
      </c>
      <c r="BD13" s="11" t="n">
        <v>0</v>
      </c>
      <c r="BE13" s="11" t="n">
        <v>719</v>
      </c>
      <c r="BF13" s="11" t="n">
        <v>0</v>
      </c>
      <c r="BG13" s="11" t="n">
        <v>0</v>
      </c>
      <c r="BH13" s="11" t="n">
        <v>86</v>
      </c>
      <c r="BI13" s="11" t="n">
        <v>268</v>
      </c>
      <c r="BJ13" s="11" t="n">
        <v>0</v>
      </c>
      <c r="BK13" s="11" t="n">
        <v>0</v>
      </c>
      <c r="BL13" s="11" t="n">
        <v>8</v>
      </c>
      <c r="BM13" s="11" t="n">
        <v>55</v>
      </c>
      <c r="BN13" s="11" t="n">
        <v>36</v>
      </c>
      <c r="BO13" s="11" t="n">
        <v>0</v>
      </c>
      <c r="BP13" s="11" t="n">
        <v>186</v>
      </c>
      <c r="BQ13" s="11" t="n">
        <v>639</v>
      </c>
      <c r="BR13" s="11" t="n">
        <v>1358</v>
      </c>
      <c r="BS13" s="11" t="n">
        <v>17044</v>
      </c>
    </row>
    <row r="14">
      <c r="A14" s="11" t="n">
        <v>2023</v>
      </c>
      <c r="B14" t="inlineStr">
        <is>
          <t>Sud</t>
        </is>
      </c>
      <c r="C14" t="inlineStr">
        <is>
          <t>Occitanie</t>
        </is>
      </c>
      <c r="D14" t="inlineStr">
        <is>
          <t>11</t>
        </is>
      </c>
      <c r="E14" t="inlineStr">
        <is>
          <t>Aude</t>
        </is>
      </c>
      <c r="F14" t="inlineStr">
        <is>
          <t>B</t>
        </is>
      </c>
      <c r="G14" s="11" t="n">
        <v>349</v>
      </c>
      <c r="H14" s="11" t="n">
        <v>122</v>
      </c>
      <c r="I14" s="11" t="n">
        <v>3</v>
      </c>
      <c r="J14" s="11" t="n">
        <v>25</v>
      </c>
      <c r="K14" s="11" t="n">
        <v>14</v>
      </c>
      <c r="L14" s="11" t="n">
        <v>7</v>
      </c>
      <c r="M14" s="11" t="n">
        <v>9</v>
      </c>
      <c r="N14" s="11" t="n">
        <v>255</v>
      </c>
      <c r="O14" s="11" t="n">
        <v>381</v>
      </c>
      <c r="P14" s="11" t="n">
        <v>1184</v>
      </c>
      <c r="Q14" s="11" t="n">
        <v>27</v>
      </c>
      <c r="R14" s="11" t="n">
        <v>2254</v>
      </c>
      <c r="S14" s="11" t="n">
        <v>359</v>
      </c>
      <c r="T14" s="11" t="n">
        <v>4673</v>
      </c>
      <c r="U14" s="11" t="n">
        <v>0</v>
      </c>
      <c r="V14" s="11" t="n">
        <v>3156</v>
      </c>
      <c r="W14" s="11" t="n">
        <v>27</v>
      </c>
      <c r="X14" s="11" t="n">
        <v>169</v>
      </c>
      <c r="Y14" s="11" t="n">
        <v>6244</v>
      </c>
      <c r="Z14" s="11" t="n">
        <v>0</v>
      </c>
      <c r="AA14" s="11" t="n">
        <v>0</v>
      </c>
      <c r="AB14" s="11" t="n">
        <v>2805</v>
      </c>
      <c r="AC14" s="11" t="n">
        <v>659</v>
      </c>
      <c r="AD14" s="11" t="n">
        <v>24</v>
      </c>
      <c r="AE14" s="11" t="n">
        <v>46</v>
      </c>
      <c r="AF14" s="11" t="n">
        <v>72</v>
      </c>
      <c r="AG14" s="11" t="n">
        <v>8</v>
      </c>
      <c r="AH14" s="11" t="n">
        <v>715</v>
      </c>
      <c r="AI14" s="11" t="n">
        <v>18949</v>
      </c>
      <c r="AJ14" s="11" t="n">
        <v>1007</v>
      </c>
      <c r="AK14" s="11" t="n">
        <v>17</v>
      </c>
      <c r="AL14" s="11" t="n">
        <v>1024</v>
      </c>
      <c r="AM14" s="11" t="n">
        <v>19973</v>
      </c>
      <c r="AN14" s="11" t="n">
        <v>2144</v>
      </c>
      <c r="AO14" s="11" t="n">
        <v>4</v>
      </c>
      <c r="AP14" s="11" t="n">
        <v>5</v>
      </c>
      <c r="AQ14" s="11" t="n">
        <v>45</v>
      </c>
      <c r="AR14" s="11" t="n">
        <v>0</v>
      </c>
      <c r="AS14" s="11" t="n">
        <v>2198</v>
      </c>
      <c r="AT14" s="11" t="n">
        <v>126</v>
      </c>
      <c r="AU14" s="11" t="n">
        <v>221</v>
      </c>
      <c r="AV14" s="11" t="n">
        <v>115</v>
      </c>
      <c r="AW14" s="11" t="n">
        <v>6</v>
      </c>
      <c r="AX14" s="11" t="n">
        <v>0</v>
      </c>
      <c r="AY14" s="11" t="n">
        <v>468</v>
      </c>
      <c r="AZ14" s="11" t="n">
        <v>245</v>
      </c>
      <c r="BA14" s="11" t="n">
        <v>24</v>
      </c>
      <c r="BB14" s="11" t="n">
        <v>80</v>
      </c>
      <c r="BC14" s="11" t="n">
        <v>73</v>
      </c>
      <c r="BD14" s="11" t="n">
        <v>0</v>
      </c>
      <c r="BE14" s="11" t="n">
        <v>422</v>
      </c>
      <c r="BF14" s="11" t="n">
        <v>1175</v>
      </c>
      <c r="BG14" s="11" t="n">
        <v>82</v>
      </c>
      <c r="BH14" s="11" t="n">
        <v>355</v>
      </c>
      <c r="BI14" s="11" t="n">
        <v>109</v>
      </c>
      <c r="BJ14" s="11" t="n">
        <v>31</v>
      </c>
      <c r="BK14" s="11" t="n">
        <v>0</v>
      </c>
      <c r="BL14" s="11" t="n">
        <v>6</v>
      </c>
      <c r="BM14" s="11" t="n">
        <v>0</v>
      </c>
      <c r="BN14" s="11" t="n">
        <v>284</v>
      </c>
      <c r="BO14" s="11" t="n">
        <v>4</v>
      </c>
      <c r="BP14" s="11" t="n">
        <v>235</v>
      </c>
      <c r="BQ14" s="11" t="n">
        <v>2199</v>
      </c>
      <c r="BR14" s="11" t="n">
        <v>2621</v>
      </c>
      <c r="BS14" s="11" t="n">
        <v>27514</v>
      </c>
    </row>
    <row r="15">
      <c r="A15" s="11" t="n">
        <v>2023</v>
      </c>
      <c r="B15" t="inlineStr">
        <is>
          <t>Sud</t>
        </is>
      </c>
      <c r="C15" t="inlineStr">
        <is>
          <t>Occitanie</t>
        </is>
      </c>
      <c r="D15" t="inlineStr">
        <is>
          <t>12</t>
        </is>
      </c>
      <c r="E15" t="inlineStr">
        <is>
          <t>Aveyron</t>
        </is>
      </c>
      <c r="F15" t="inlineStr">
        <is>
          <t>C</t>
        </is>
      </c>
      <c r="G15" s="11" t="n">
        <v>292</v>
      </c>
      <c r="H15" s="11" t="n">
        <v>172</v>
      </c>
      <c r="I15" s="11" t="n">
        <v>14</v>
      </c>
      <c r="J15" s="11" t="n">
        <v>7</v>
      </c>
      <c r="K15" s="11" t="n">
        <v>13</v>
      </c>
      <c r="L15" s="11" t="n">
        <v>10</v>
      </c>
      <c r="M15" s="11" t="n">
        <v>27</v>
      </c>
      <c r="N15" s="11" t="n">
        <v>66</v>
      </c>
      <c r="O15" s="11" t="n">
        <v>117</v>
      </c>
      <c r="P15" s="11" t="n">
        <v>260</v>
      </c>
      <c r="Q15" s="11" t="n">
        <v>278</v>
      </c>
      <c r="R15" s="11" t="n">
        <v>1084</v>
      </c>
      <c r="S15" s="11" t="n">
        <v>248</v>
      </c>
      <c r="T15" s="11" t="n">
        <v>1120</v>
      </c>
      <c r="U15" s="11" t="n">
        <v>325</v>
      </c>
      <c r="V15" s="11" t="n">
        <v>931</v>
      </c>
      <c r="W15" s="11" t="n">
        <v>3</v>
      </c>
      <c r="X15" s="11" t="n">
        <v>250</v>
      </c>
      <c r="Y15" s="11" t="n">
        <v>2781</v>
      </c>
      <c r="Z15" s="11" t="n">
        <v>1454</v>
      </c>
      <c r="AA15" s="11" t="n">
        <v>71</v>
      </c>
      <c r="AB15" s="11" t="n">
        <v>1445</v>
      </c>
      <c r="AC15" s="11" t="n">
        <v>141</v>
      </c>
      <c r="AD15" s="11" t="n">
        <v>6</v>
      </c>
      <c r="AE15" s="11" t="n">
        <v>0</v>
      </c>
      <c r="AF15" s="11" t="n">
        <v>103</v>
      </c>
      <c r="AG15" s="11" t="n">
        <v>13</v>
      </c>
      <c r="AH15" s="11" t="n">
        <v>2427</v>
      </c>
      <c r="AI15" s="11" t="n">
        <v>11305</v>
      </c>
      <c r="AJ15" s="11" t="n">
        <v>361</v>
      </c>
      <c r="AK15" s="11" t="n">
        <v>46</v>
      </c>
      <c r="AL15" s="11" t="n">
        <v>407</v>
      </c>
      <c r="AM15" s="11" t="n">
        <v>11712</v>
      </c>
      <c r="AN15" s="11" t="n">
        <v>1119</v>
      </c>
      <c r="AO15" s="11" t="n">
        <v>0</v>
      </c>
      <c r="AP15" s="11" t="n">
        <v>0</v>
      </c>
      <c r="AQ15" s="11" t="n">
        <v>2</v>
      </c>
      <c r="AR15" s="11" t="n">
        <v>0</v>
      </c>
      <c r="AS15" s="11" t="n">
        <v>1121</v>
      </c>
      <c r="AT15" s="11" t="n">
        <v>85</v>
      </c>
      <c r="AU15" s="11" t="n">
        <v>56</v>
      </c>
      <c r="AV15" s="11" t="n">
        <v>11</v>
      </c>
      <c r="AW15" s="11" t="n">
        <v>14</v>
      </c>
      <c r="AX15" s="11" t="n">
        <v>6</v>
      </c>
      <c r="AY15" s="11" t="n">
        <v>172</v>
      </c>
      <c r="AZ15" s="11" t="n">
        <v>61</v>
      </c>
      <c r="BA15" s="11" t="n">
        <v>68</v>
      </c>
      <c r="BB15" s="11" t="n">
        <v>78</v>
      </c>
      <c r="BC15" s="11" t="n">
        <v>12</v>
      </c>
      <c r="BD15" s="11" t="n">
        <v>6</v>
      </c>
      <c r="BE15" s="11" t="n">
        <v>225</v>
      </c>
      <c r="BF15" s="11" t="n">
        <v>36</v>
      </c>
      <c r="BG15" s="11" t="n">
        <v>20</v>
      </c>
      <c r="BH15" s="11" t="n">
        <v>215</v>
      </c>
      <c r="BI15" s="11" t="n">
        <v>154</v>
      </c>
      <c r="BJ15" s="11" t="n">
        <v>3</v>
      </c>
      <c r="BK15" s="11" t="n">
        <v>0</v>
      </c>
      <c r="BL15" s="11" t="n">
        <v>9</v>
      </c>
      <c r="BM15" s="11" t="n">
        <v>7</v>
      </c>
      <c r="BN15" s="11" t="n">
        <v>0</v>
      </c>
      <c r="BO15" s="11" t="n">
        <v>1</v>
      </c>
      <c r="BP15" s="11" t="n">
        <v>252</v>
      </c>
      <c r="BQ15" s="11" t="n">
        <v>677</v>
      </c>
      <c r="BR15" s="11" t="n">
        <v>902</v>
      </c>
      <c r="BS15" s="11" t="n">
        <v>14991</v>
      </c>
    </row>
    <row r="16">
      <c r="A16" s="11" t="n">
        <v>2023</v>
      </c>
      <c r="B16" t="inlineStr">
        <is>
          <t>Sud</t>
        </is>
      </c>
      <c r="C16" t="inlineStr">
        <is>
          <t>Provence-Alpes-C�te d'Azur</t>
        </is>
      </c>
      <c r="D16" t="inlineStr">
        <is>
          <t>13</t>
        </is>
      </c>
      <c r="E16" t="inlineStr">
        <is>
          <t>Bouches-du-Rh�ne</t>
        </is>
      </c>
      <c r="F16" t="inlineStr">
        <is>
          <t>A</t>
        </is>
      </c>
      <c r="G16" s="11" t="n">
        <v>866</v>
      </c>
      <c r="H16" s="11" t="n">
        <v>184</v>
      </c>
      <c r="I16" s="11" t="n">
        <v>48</v>
      </c>
      <c r="J16" s="11" t="n">
        <v>167</v>
      </c>
      <c r="K16" s="11" t="n">
        <v>118</v>
      </c>
      <c r="L16" s="11" t="n">
        <v>148</v>
      </c>
      <c r="M16" s="11" t="n">
        <v>4</v>
      </c>
      <c r="N16" s="11" t="n">
        <v>1427</v>
      </c>
      <c r="O16" s="11" t="n">
        <v>1075</v>
      </c>
      <c r="P16" s="11" t="n">
        <v>1917</v>
      </c>
      <c r="Q16" s="11" t="n">
        <v>2</v>
      </c>
      <c r="R16" s="11" t="n">
        <v>5772</v>
      </c>
      <c r="S16" s="11" t="n">
        <v>3683</v>
      </c>
      <c r="T16" s="11" t="n">
        <v>25509</v>
      </c>
      <c r="U16" s="11" t="n">
        <v>3089</v>
      </c>
      <c r="V16" s="11" t="n">
        <v>12523</v>
      </c>
      <c r="W16" s="11" t="n">
        <v>169</v>
      </c>
      <c r="X16" s="11" t="n">
        <v>2363</v>
      </c>
      <c r="Y16" s="11" t="n">
        <v>44761</v>
      </c>
      <c r="Z16" s="11" t="n">
        <v>12016</v>
      </c>
      <c r="AA16" s="11" t="n">
        <v>0</v>
      </c>
      <c r="AB16" s="11" t="n">
        <v>17611</v>
      </c>
      <c r="AC16" s="11" t="n">
        <v>94</v>
      </c>
      <c r="AD16" s="11" t="n">
        <v>37</v>
      </c>
      <c r="AE16" s="11" t="n">
        <v>31</v>
      </c>
      <c r="AF16" s="11" t="n">
        <v>1603</v>
      </c>
      <c r="AG16" s="11" t="n">
        <v>39</v>
      </c>
      <c r="AH16" s="11" t="n">
        <v>0</v>
      </c>
      <c r="AI16" s="11" t="n">
        <v>123489</v>
      </c>
      <c r="AJ16" s="11" t="n">
        <v>1913</v>
      </c>
      <c r="AK16" s="11" t="n">
        <v>96</v>
      </c>
      <c r="AL16" s="11" t="n">
        <v>2009</v>
      </c>
      <c r="AM16" s="11" t="n">
        <v>125498</v>
      </c>
      <c r="AN16" s="11" t="n">
        <v>8184</v>
      </c>
      <c r="AO16" s="11" t="n">
        <v>6</v>
      </c>
      <c r="AP16" s="11" t="n">
        <v>15</v>
      </c>
      <c r="AQ16" s="11" t="n">
        <v>11</v>
      </c>
      <c r="AR16" s="11" t="n">
        <v>0</v>
      </c>
      <c r="AS16" s="11" t="n">
        <v>8216</v>
      </c>
      <c r="AT16" s="11" t="n">
        <v>363</v>
      </c>
      <c r="AU16" s="11" t="n">
        <v>435</v>
      </c>
      <c r="AV16" s="11" t="n">
        <v>22</v>
      </c>
      <c r="AW16" s="11" t="n">
        <v>129</v>
      </c>
      <c r="AX16" s="11" t="n">
        <v>0</v>
      </c>
      <c r="AY16" s="11" t="n">
        <v>949</v>
      </c>
      <c r="AZ16" s="11" t="n">
        <v>1062</v>
      </c>
      <c r="BA16" s="11" t="n">
        <v>129</v>
      </c>
      <c r="BB16" s="11" t="n">
        <v>619</v>
      </c>
      <c r="BC16" s="11" t="n">
        <v>0</v>
      </c>
      <c r="BD16" s="11" t="n">
        <v>7</v>
      </c>
      <c r="BE16" s="11" t="n">
        <v>1817</v>
      </c>
      <c r="BF16" s="11" t="n">
        <v>4722</v>
      </c>
      <c r="BG16" s="11" t="n">
        <v>0</v>
      </c>
      <c r="BH16" s="11" t="n">
        <v>1808</v>
      </c>
      <c r="BI16" s="11" t="n">
        <v>368</v>
      </c>
      <c r="BJ16" s="11" t="n">
        <v>443</v>
      </c>
      <c r="BK16" s="11" t="n">
        <v>0</v>
      </c>
      <c r="BL16" s="11" t="n">
        <v>67</v>
      </c>
      <c r="BM16" s="11" t="n">
        <v>409</v>
      </c>
      <c r="BN16" s="11" t="n">
        <v>266</v>
      </c>
      <c r="BO16" s="11" t="n">
        <v>27</v>
      </c>
      <c r="BP16" s="11" t="n">
        <v>1154</v>
      </c>
      <c r="BQ16" s="11" t="n">
        <v>9264</v>
      </c>
      <c r="BR16" s="11" t="n">
        <v>11081</v>
      </c>
      <c r="BS16" s="11" t="n">
        <v>151516</v>
      </c>
    </row>
    <row r="17">
      <c r="A17" s="11" t="n">
        <v>2023</v>
      </c>
      <c r="B17" t="inlineStr">
        <is>
          <t>Ouest</t>
        </is>
      </c>
      <c r="C17" t="inlineStr">
        <is>
          <t>Normandie</t>
        </is>
      </c>
      <c r="D17" t="inlineStr">
        <is>
          <t>14</t>
        </is>
      </c>
      <c r="E17" t="inlineStr">
        <is>
          <t>Calvados</t>
        </is>
      </c>
      <c r="F17" t="inlineStr">
        <is>
          <t>B</t>
        </is>
      </c>
      <c r="G17" s="11" t="n">
        <v>1189</v>
      </c>
      <c r="H17" s="11" t="n">
        <v>345</v>
      </c>
      <c r="I17" s="11" t="n">
        <v>10</v>
      </c>
      <c r="J17" s="11" t="n">
        <v>48</v>
      </c>
      <c r="K17" s="11" t="n">
        <v>17</v>
      </c>
      <c r="L17" s="11" t="n">
        <v>27</v>
      </c>
      <c r="M17" s="11" t="n">
        <v>47</v>
      </c>
      <c r="N17" s="11" t="n">
        <v>364</v>
      </c>
      <c r="O17" s="11" t="n">
        <v>455</v>
      </c>
      <c r="P17" s="11" t="n">
        <v>320</v>
      </c>
      <c r="Q17" s="11" t="n">
        <v>369</v>
      </c>
      <c r="R17" s="11" t="n">
        <v>2846</v>
      </c>
      <c r="S17" s="11" t="n">
        <v>165</v>
      </c>
      <c r="T17" s="11" t="n">
        <v>1147</v>
      </c>
      <c r="U17" s="11" t="n">
        <v>38</v>
      </c>
      <c r="V17" s="11" t="n">
        <v>5314</v>
      </c>
      <c r="W17" s="11" t="n">
        <v>0</v>
      </c>
      <c r="X17" s="11" t="n">
        <v>314</v>
      </c>
      <c r="Y17" s="11" t="n">
        <v>7959</v>
      </c>
      <c r="Z17" s="11" t="n">
        <v>3617</v>
      </c>
      <c r="AA17" s="11" t="n">
        <v>24</v>
      </c>
      <c r="AB17" s="11" t="n">
        <v>7532</v>
      </c>
      <c r="AC17" s="11" t="n">
        <v>333</v>
      </c>
      <c r="AD17" s="11" t="n">
        <v>29</v>
      </c>
      <c r="AE17" s="11" t="n">
        <v>70</v>
      </c>
      <c r="AF17" s="11" t="n">
        <v>202</v>
      </c>
      <c r="AG17" s="11" t="n">
        <v>39</v>
      </c>
      <c r="AH17" s="11" t="n">
        <v>2908</v>
      </c>
      <c r="AI17" s="11" t="n">
        <v>29652</v>
      </c>
      <c r="AJ17" s="11" t="n">
        <v>3311</v>
      </c>
      <c r="AK17" s="11" t="n">
        <v>0</v>
      </c>
      <c r="AL17" s="11" t="n">
        <v>3311</v>
      </c>
      <c r="AM17" s="11" t="n">
        <v>32963</v>
      </c>
      <c r="AN17" s="11" t="n">
        <v>3213</v>
      </c>
      <c r="AO17" s="11" t="n">
        <v>7</v>
      </c>
      <c r="AP17" s="11" t="n">
        <v>3</v>
      </c>
      <c r="AQ17" s="11" t="n">
        <v>7</v>
      </c>
      <c r="AR17" s="11" t="n">
        <v>0</v>
      </c>
      <c r="AS17" s="11" t="n">
        <v>3230</v>
      </c>
      <c r="AT17" s="11" t="n">
        <v>346</v>
      </c>
      <c r="AU17" s="11" t="n">
        <v>161</v>
      </c>
      <c r="AV17" s="11" t="n">
        <v>191</v>
      </c>
      <c r="AW17" s="11" t="n">
        <v>39</v>
      </c>
      <c r="AX17" s="11" t="n">
        <v>2</v>
      </c>
      <c r="AY17" s="11" t="n">
        <v>739</v>
      </c>
      <c r="AZ17" s="11" t="n">
        <v>605</v>
      </c>
      <c r="BA17" s="11" t="n">
        <v>366</v>
      </c>
      <c r="BB17" s="11" t="n">
        <v>271</v>
      </c>
      <c r="BC17" s="11" t="n">
        <v>0</v>
      </c>
      <c r="BD17" s="11" t="n">
        <v>0</v>
      </c>
      <c r="BE17" s="11" t="n">
        <v>1242</v>
      </c>
      <c r="BF17" s="11" t="n">
        <v>0</v>
      </c>
      <c r="BG17" s="11" t="n">
        <v>0</v>
      </c>
      <c r="BH17" s="11" t="n">
        <v>274</v>
      </c>
      <c r="BI17" s="11" t="n">
        <v>0</v>
      </c>
      <c r="BJ17" s="11" t="n">
        <v>9</v>
      </c>
      <c r="BK17" s="11" t="n">
        <v>0</v>
      </c>
      <c r="BL17" s="11" t="n">
        <v>7</v>
      </c>
      <c r="BM17" s="11" t="n">
        <v>165</v>
      </c>
      <c r="BN17" s="11" t="n">
        <v>43</v>
      </c>
      <c r="BO17" s="11" t="n">
        <v>9</v>
      </c>
      <c r="BP17" s="11" t="n">
        <v>118</v>
      </c>
      <c r="BQ17" s="11" t="n">
        <v>625</v>
      </c>
      <c r="BR17" s="11" t="n">
        <v>1867</v>
      </c>
      <c r="BS17" s="11" t="n">
        <v>41645</v>
      </c>
    </row>
    <row r="18">
      <c r="A18" s="11" t="n">
        <v>2023</v>
      </c>
      <c r="B18" t="inlineStr">
        <is>
          <t>Sud-est</t>
        </is>
      </c>
      <c r="C18" t="inlineStr">
        <is>
          <t>Auvergne-Rh�ne-Alpes</t>
        </is>
      </c>
      <c r="D18" t="inlineStr">
        <is>
          <t>15</t>
        </is>
      </c>
      <c r="E18" t="inlineStr">
        <is>
          <t>Cantal</t>
        </is>
      </c>
      <c r="F18" t="inlineStr">
        <is>
          <t>C</t>
        </is>
      </c>
      <c r="G18" s="11" t="n">
        <v>230</v>
      </c>
      <c r="H18" s="11" t="n">
        <v>152</v>
      </c>
      <c r="I18" s="11" t="n">
        <v>4</v>
      </c>
      <c r="J18" s="11" t="n">
        <v>6</v>
      </c>
      <c r="K18" s="11" t="n">
        <v>3</v>
      </c>
      <c r="L18" s="11" t="n">
        <v>5</v>
      </c>
      <c r="M18" s="11" t="n">
        <v>19</v>
      </c>
      <c r="N18" s="11" t="n">
        <v>63</v>
      </c>
      <c r="O18" s="11" t="n">
        <v>76</v>
      </c>
      <c r="P18" s="11" t="n">
        <v>176</v>
      </c>
      <c r="Q18" s="11" t="n">
        <v>29</v>
      </c>
      <c r="R18" s="11" t="n">
        <v>611</v>
      </c>
      <c r="S18" s="11" t="n">
        <v>217</v>
      </c>
      <c r="T18" s="11" t="n">
        <v>1385</v>
      </c>
      <c r="U18" s="11" t="n">
        <v>274</v>
      </c>
      <c r="V18" s="11" t="n">
        <v>868</v>
      </c>
      <c r="W18" s="11" t="n">
        <v>1</v>
      </c>
      <c r="X18" s="11" t="n">
        <v>181</v>
      </c>
      <c r="Y18" s="11" t="n">
        <v>2341</v>
      </c>
      <c r="Z18" s="11" t="n">
        <v>716</v>
      </c>
      <c r="AA18" s="11" t="n">
        <v>12</v>
      </c>
      <c r="AB18" s="11" t="n">
        <v>1126</v>
      </c>
      <c r="AC18" s="11" t="n">
        <v>165</v>
      </c>
      <c r="AD18" s="11" t="n">
        <v>5</v>
      </c>
      <c r="AE18" s="11" t="n">
        <v>0</v>
      </c>
      <c r="AF18" s="11" t="n">
        <v>21</v>
      </c>
      <c r="AG18" s="11" t="n">
        <v>6</v>
      </c>
      <c r="AH18" s="11" t="n">
        <v>209</v>
      </c>
      <c r="AI18" s="11" t="n">
        <v>7521</v>
      </c>
      <c r="AJ18" s="11" t="n">
        <v>706</v>
      </c>
      <c r="AK18" s="11" t="n">
        <v>2</v>
      </c>
      <c r="AL18" s="11" t="n">
        <v>708</v>
      </c>
      <c r="AM18" s="11" t="n">
        <v>8229</v>
      </c>
      <c r="AN18" s="11" t="n">
        <v>552</v>
      </c>
      <c r="AO18" s="11" t="n">
        <v>0</v>
      </c>
      <c r="AP18" s="11" t="n">
        <v>1</v>
      </c>
      <c r="AQ18" s="11" t="n">
        <v>0</v>
      </c>
      <c r="AR18" s="11" t="n">
        <v>0</v>
      </c>
      <c r="AS18" s="11" t="n">
        <v>553</v>
      </c>
      <c r="AT18" s="11" t="n">
        <v>82</v>
      </c>
      <c r="AU18" s="11" t="n">
        <v>34</v>
      </c>
      <c r="AV18" s="11" t="n">
        <v>25</v>
      </c>
      <c r="AW18" s="11" t="n">
        <v>4</v>
      </c>
      <c r="AX18" s="11" t="n">
        <v>4</v>
      </c>
      <c r="AY18" s="11" t="n">
        <v>149</v>
      </c>
      <c r="AZ18" s="11" t="n">
        <v>29</v>
      </c>
      <c r="BA18" s="11" t="n">
        <v>112</v>
      </c>
      <c r="BB18" s="11" t="n">
        <v>0</v>
      </c>
      <c r="BC18" s="11" t="n">
        <v>1</v>
      </c>
      <c r="BD18" s="11" t="n">
        <v>0</v>
      </c>
      <c r="BE18" s="11" t="n">
        <v>142</v>
      </c>
      <c r="BF18" s="11" t="n">
        <v>53</v>
      </c>
      <c r="BG18" s="11" t="n">
        <v>0</v>
      </c>
      <c r="BH18" s="11" t="n">
        <v>76</v>
      </c>
      <c r="BI18" s="11" t="n">
        <v>65</v>
      </c>
      <c r="BJ18" s="11" t="n">
        <v>0</v>
      </c>
      <c r="BK18" s="11" t="n">
        <v>0</v>
      </c>
      <c r="BL18" s="11" t="n">
        <v>0</v>
      </c>
      <c r="BM18" s="11" t="n">
        <v>17</v>
      </c>
      <c r="BN18" s="11" t="n">
        <v>2</v>
      </c>
      <c r="BO18" s="11" t="n">
        <v>2</v>
      </c>
      <c r="BP18" s="11" t="n">
        <v>241</v>
      </c>
      <c r="BQ18" s="11" t="n">
        <v>456</v>
      </c>
      <c r="BR18" s="11" t="n">
        <v>598</v>
      </c>
      <c r="BS18" s="11" t="n">
        <v>10140</v>
      </c>
    </row>
    <row r="19">
      <c r="A19" s="11" t="n">
        <v>2023</v>
      </c>
      <c r="B19" t="inlineStr">
        <is>
          <t>Sud-ouest</t>
        </is>
      </c>
      <c r="C19" t="inlineStr">
        <is>
          <t>Nouvelle-Aquitaine</t>
        </is>
      </c>
      <c r="D19" t="inlineStr">
        <is>
          <t>16</t>
        </is>
      </c>
      <c r="E19" t="inlineStr">
        <is>
          <t>Charente</t>
        </is>
      </c>
      <c r="F19" t="inlineStr">
        <is>
          <t>C</t>
        </is>
      </c>
      <c r="G19" s="11" t="n">
        <v>408</v>
      </c>
      <c r="H19" s="11" t="n">
        <v>195</v>
      </c>
      <c r="I19" s="11" t="n">
        <v>12</v>
      </c>
      <c r="J19" s="11" t="n">
        <v>24</v>
      </c>
      <c r="K19" s="11" t="n">
        <v>50</v>
      </c>
      <c r="L19" s="11" t="n">
        <v>0</v>
      </c>
      <c r="M19" s="11" t="n">
        <v>24</v>
      </c>
      <c r="N19" s="11" t="n">
        <v>124</v>
      </c>
      <c r="O19" s="11" t="n">
        <v>294</v>
      </c>
      <c r="P19" s="11" t="n">
        <v>233</v>
      </c>
      <c r="Q19" s="11" t="n">
        <v>354</v>
      </c>
      <c r="R19" s="11" t="n">
        <v>1523</v>
      </c>
      <c r="S19" s="11" t="n">
        <v>226</v>
      </c>
      <c r="T19" s="11" t="n">
        <v>270</v>
      </c>
      <c r="U19" s="11" t="n">
        <v>400</v>
      </c>
      <c r="V19" s="11" t="n">
        <v>1441</v>
      </c>
      <c r="W19" s="11" t="n">
        <v>0</v>
      </c>
      <c r="X19" s="11" t="n">
        <v>77</v>
      </c>
      <c r="Y19" s="11" t="n">
        <v>3290</v>
      </c>
      <c r="Z19" s="11" t="n">
        <v>551</v>
      </c>
      <c r="AA19" s="11" t="n">
        <v>0</v>
      </c>
      <c r="AB19" s="11" t="n">
        <v>1302</v>
      </c>
      <c r="AC19" s="11" t="n">
        <v>0</v>
      </c>
      <c r="AD19" s="11" t="n">
        <v>15</v>
      </c>
      <c r="AE19" s="11" t="n">
        <v>0</v>
      </c>
      <c r="AF19" s="11" t="n">
        <v>21</v>
      </c>
      <c r="AG19" s="11" t="n">
        <v>21</v>
      </c>
      <c r="AH19" s="11" t="n">
        <v>3610</v>
      </c>
      <c r="AI19" s="11" t="n">
        <v>11203</v>
      </c>
      <c r="AJ19" s="11" t="n">
        <v>6</v>
      </c>
      <c r="AK19" s="11" t="n">
        <v>5</v>
      </c>
      <c r="AL19" s="11" t="n">
        <v>11</v>
      </c>
      <c r="AM19" s="11" t="n">
        <v>11214</v>
      </c>
      <c r="AN19" s="11" t="n">
        <v>1305</v>
      </c>
      <c r="AO19" s="11" t="n">
        <v>1</v>
      </c>
      <c r="AP19" s="11" t="n">
        <v>0</v>
      </c>
      <c r="AQ19" s="11" t="n">
        <v>2</v>
      </c>
      <c r="AR19" s="11" t="n">
        <v>0</v>
      </c>
      <c r="AS19" s="11" t="n">
        <v>1308</v>
      </c>
      <c r="AT19" s="11" t="n">
        <v>150</v>
      </c>
      <c r="AU19" s="11" t="n">
        <v>51</v>
      </c>
      <c r="AV19" s="11" t="n">
        <v>0</v>
      </c>
      <c r="AW19" s="11" t="n">
        <v>33</v>
      </c>
      <c r="AX19" s="11" t="n">
        <v>0</v>
      </c>
      <c r="AY19" s="11" t="n">
        <v>234</v>
      </c>
      <c r="AZ19" s="11" t="n">
        <v>261</v>
      </c>
      <c r="BA19" s="11" t="n">
        <v>6</v>
      </c>
      <c r="BB19" s="11" t="n">
        <v>482</v>
      </c>
      <c r="BC19" s="11" t="n">
        <v>0</v>
      </c>
      <c r="BD19" s="11" t="n">
        <v>0</v>
      </c>
      <c r="BE19" s="11" t="n">
        <v>749</v>
      </c>
      <c r="BF19" s="11" t="n">
        <v>11</v>
      </c>
      <c r="BG19" s="11" t="n">
        <v>8</v>
      </c>
      <c r="BH19" s="11" t="n">
        <v>320</v>
      </c>
      <c r="BI19" s="11" t="n">
        <v>60</v>
      </c>
      <c r="BJ19" s="11" t="n">
        <v>117</v>
      </c>
      <c r="BK19" s="11" t="n">
        <v>0</v>
      </c>
      <c r="BL19" s="11" t="n">
        <v>11</v>
      </c>
      <c r="BM19" s="11" t="n">
        <v>36</v>
      </c>
      <c r="BN19" s="11" t="n">
        <v>5</v>
      </c>
      <c r="BO19" s="11" t="n">
        <v>0</v>
      </c>
      <c r="BP19" s="11" t="n">
        <v>341</v>
      </c>
      <c r="BQ19" s="11" t="n">
        <v>901</v>
      </c>
      <c r="BR19" s="11" t="n">
        <v>1650</v>
      </c>
      <c r="BS19" s="11" t="n">
        <v>15929</v>
      </c>
    </row>
    <row r="20">
      <c r="A20" s="11" t="n">
        <v>2023</v>
      </c>
      <c r="B20" t="inlineStr">
        <is>
          <t>Sud-ouest</t>
        </is>
      </c>
      <c r="C20" t="inlineStr">
        <is>
          <t>Nouvelle-Aquitaine</t>
        </is>
      </c>
      <c r="D20" t="inlineStr">
        <is>
          <t>17</t>
        </is>
      </c>
      <c r="E20" t="inlineStr">
        <is>
          <t>Charente-Maritime</t>
        </is>
      </c>
      <c r="F20" t="inlineStr">
        <is>
          <t>B</t>
        </is>
      </c>
      <c r="G20" s="11" t="n">
        <v>347</v>
      </c>
      <c r="H20" s="11" t="n">
        <v>208</v>
      </c>
      <c r="I20" s="11" t="n">
        <v>37</v>
      </c>
      <c r="J20" s="11" t="n">
        <v>35</v>
      </c>
      <c r="K20" s="11" t="n">
        <v>35</v>
      </c>
      <c r="L20" s="11" t="n">
        <v>18</v>
      </c>
      <c r="M20" s="11" t="n">
        <v>19</v>
      </c>
      <c r="N20" s="11" t="n">
        <v>335</v>
      </c>
      <c r="O20" s="11" t="n">
        <v>493</v>
      </c>
      <c r="P20" s="11" t="n">
        <v>323</v>
      </c>
      <c r="Q20" s="11" t="n">
        <v>789</v>
      </c>
      <c r="R20" s="11" t="n">
        <v>2431</v>
      </c>
      <c r="S20" s="11" t="n">
        <v>843</v>
      </c>
      <c r="T20" s="11" t="n">
        <v>4823</v>
      </c>
      <c r="U20" s="11" t="n">
        <v>772</v>
      </c>
      <c r="V20" s="11" t="n">
        <v>4009</v>
      </c>
      <c r="W20" s="11" t="n">
        <v>0</v>
      </c>
      <c r="X20" s="11" t="n">
        <v>735</v>
      </c>
      <c r="Y20" s="11" t="n">
        <v>13342</v>
      </c>
      <c r="Z20" s="11" t="n">
        <v>1310</v>
      </c>
      <c r="AA20" s="11" t="n">
        <v>90</v>
      </c>
      <c r="AB20" s="11" t="n">
        <v>5179</v>
      </c>
      <c r="AC20" s="11" t="n">
        <v>1479</v>
      </c>
      <c r="AD20" s="11" t="n">
        <v>26</v>
      </c>
      <c r="AE20" s="11" t="n">
        <v>203</v>
      </c>
      <c r="AF20" s="11" t="n">
        <v>203</v>
      </c>
      <c r="AG20" s="11" t="n">
        <v>34</v>
      </c>
      <c r="AH20" s="11" t="n">
        <v>3731</v>
      </c>
      <c r="AI20" s="11" t="n">
        <v>36745</v>
      </c>
      <c r="AJ20" s="11" t="n">
        <v>3688</v>
      </c>
      <c r="AK20" s="11" t="n">
        <v>105</v>
      </c>
      <c r="AL20" s="11" t="n">
        <v>3793</v>
      </c>
      <c r="AM20" s="11" t="n">
        <v>40538</v>
      </c>
      <c r="AN20" s="11" t="n">
        <v>3872</v>
      </c>
      <c r="AO20" s="11" t="n">
        <v>3</v>
      </c>
      <c r="AP20" s="11" t="n">
        <v>3</v>
      </c>
      <c r="AQ20" s="11" t="n">
        <v>6</v>
      </c>
      <c r="AR20" s="11" t="n">
        <v>0</v>
      </c>
      <c r="AS20" s="11" t="n">
        <v>3884</v>
      </c>
      <c r="AT20" s="11" t="n">
        <v>145</v>
      </c>
      <c r="AU20" s="11" t="n">
        <v>207</v>
      </c>
      <c r="AV20" s="11" t="n">
        <v>100</v>
      </c>
      <c r="AW20" s="11" t="n">
        <v>46</v>
      </c>
      <c r="AX20" s="11" t="n">
        <v>0</v>
      </c>
      <c r="AY20" s="11" t="n">
        <v>498</v>
      </c>
      <c r="AZ20" s="11" t="n">
        <v>342</v>
      </c>
      <c r="BA20" s="11" t="n">
        <v>599</v>
      </c>
      <c r="BB20" s="11" t="n">
        <v>134</v>
      </c>
      <c r="BC20" s="11" t="n">
        <v>1</v>
      </c>
      <c r="BD20" s="11" t="n">
        <v>7</v>
      </c>
      <c r="BE20" s="11" t="n">
        <v>1083</v>
      </c>
      <c r="BF20" s="11" t="n">
        <v>448</v>
      </c>
      <c r="BG20" s="11" t="n">
        <v>0</v>
      </c>
      <c r="BH20" s="11" t="n">
        <v>551</v>
      </c>
      <c r="BI20" s="11" t="n">
        <v>33</v>
      </c>
      <c r="BJ20" s="11" t="n">
        <v>145</v>
      </c>
      <c r="BK20" s="11" t="n">
        <v>4</v>
      </c>
      <c r="BL20" s="11" t="n">
        <v>44</v>
      </c>
      <c r="BM20" s="11" t="n">
        <v>263</v>
      </c>
      <c r="BN20" s="11" t="n">
        <v>960</v>
      </c>
      <c r="BO20" s="11" t="n">
        <v>1</v>
      </c>
      <c r="BP20" s="11" t="n">
        <v>1323</v>
      </c>
      <c r="BQ20" s="11" t="n">
        <v>3772</v>
      </c>
      <c r="BR20" s="11" t="n">
        <v>4855</v>
      </c>
      <c r="BS20" s="11" t="n">
        <v>52206</v>
      </c>
    </row>
    <row r="21">
      <c r="A21" s="11" t="n">
        <v>2023</v>
      </c>
      <c r="B21" t="inlineStr">
        <is>
          <t>Ouest</t>
        </is>
      </c>
      <c r="C21" t="inlineStr">
        <is>
          <t>Centre-Val de Loire</t>
        </is>
      </c>
      <c r="D21" t="inlineStr">
        <is>
          <t>18</t>
        </is>
      </c>
      <c r="E21" t="inlineStr">
        <is>
          <t>Cher</t>
        </is>
      </c>
      <c r="F21" t="inlineStr">
        <is>
          <t>C</t>
        </is>
      </c>
      <c r="G21" s="11" t="n">
        <v>377</v>
      </c>
      <c r="H21" s="11" t="n">
        <v>223</v>
      </c>
      <c r="I21" s="11" t="n">
        <v>6</v>
      </c>
      <c r="J21" s="11" t="n">
        <v>15</v>
      </c>
      <c r="K21" s="11" t="n">
        <v>8</v>
      </c>
      <c r="L21" s="11" t="n">
        <v>0</v>
      </c>
      <c r="M21" s="11" t="n">
        <v>17</v>
      </c>
      <c r="N21" s="11" t="n">
        <v>131</v>
      </c>
      <c r="O21" s="11" t="n">
        <v>267</v>
      </c>
      <c r="P21" s="11" t="n">
        <v>292</v>
      </c>
      <c r="Q21" s="11" t="n">
        <v>366</v>
      </c>
      <c r="R21" s="11" t="n">
        <v>1479</v>
      </c>
      <c r="S21" s="11" t="n">
        <v>835</v>
      </c>
      <c r="T21" s="11" t="n">
        <v>1269</v>
      </c>
      <c r="U21" s="11" t="n">
        <v>0</v>
      </c>
      <c r="V21" s="11" t="n">
        <v>3095</v>
      </c>
      <c r="W21" s="11" t="n">
        <v>0</v>
      </c>
      <c r="X21" s="11" t="n">
        <v>839</v>
      </c>
      <c r="Y21" s="11" t="n">
        <v>7186</v>
      </c>
      <c r="Z21" s="11" t="n">
        <v>2790</v>
      </c>
      <c r="AA21" s="11" t="n">
        <v>0</v>
      </c>
      <c r="AB21" s="11" t="n">
        <v>872</v>
      </c>
      <c r="AC21" s="11" t="n">
        <v>611</v>
      </c>
      <c r="AD21" s="11" t="n">
        <v>23</v>
      </c>
      <c r="AE21" s="11" t="n">
        <v>0</v>
      </c>
      <c r="AF21" s="11" t="n">
        <v>14</v>
      </c>
      <c r="AG21" s="11" t="n">
        <v>14</v>
      </c>
      <c r="AH21" s="11" t="n">
        <v>0</v>
      </c>
      <c r="AI21" s="11" t="n">
        <v>17534</v>
      </c>
      <c r="AJ21" s="11" t="n">
        <v>1999</v>
      </c>
      <c r="AK21" s="11" t="n">
        <v>34</v>
      </c>
      <c r="AL21" s="11" t="n">
        <v>2033</v>
      </c>
      <c r="AM21" s="11" t="n">
        <v>19567</v>
      </c>
      <c r="AN21" s="11" t="n">
        <v>1407</v>
      </c>
      <c r="AO21" s="11" t="n">
        <v>2</v>
      </c>
      <c r="AP21" s="11" t="n">
        <v>1</v>
      </c>
      <c r="AQ21" s="11" t="n">
        <v>0</v>
      </c>
      <c r="AR21" s="11" t="n">
        <v>0</v>
      </c>
      <c r="AS21" s="11" t="n">
        <v>1410</v>
      </c>
      <c r="AT21" s="11" t="n">
        <v>91</v>
      </c>
      <c r="AU21" s="11" t="n">
        <v>111</v>
      </c>
      <c r="AV21" s="11" t="n">
        <v>16</v>
      </c>
      <c r="AW21" s="11" t="n">
        <v>17</v>
      </c>
      <c r="AX21" s="11" t="n">
        <v>4</v>
      </c>
      <c r="AY21" s="11" t="n">
        <v>239</v>
      </c>
      <c r="AZ21" s="11" t="n">
        <v>183</v>
      </c>
      <c r="BA21" s="11" t="n">
        <v>264</v>
      </c>
      <c r="BB21" s="11" t="n">
        <v>19</v>
      </c>
      <c r="BC21" s="11" t="n">
        <v>2</v>
      </c>
      <c r="BD21" s="11" t="n">
        <v>0</v>
      </c>
      <c r="BE21" s="11" t="n">
        <v>468</v>
      </c>
      <c r="BF21" s="11" t="n">
        <v>0</v>
      </c>
      <c r="BG21" s="11" t="n">
        <v>0</v>
      </c>
      <c r="BH21" s="11" t="n">
        <v>187</v>
      </c>
      <c r="BI21" s="11" t="n">
        <v>52</v>
      </c>
      <c r="BJ21" s="11" t="n">
        <v>0</v>
      </c>
      <c r="BK21" s="11" t="n">
        <v>2</v>
      </c>
      <c r="BL21" s="11" t="n">
        <v>0</v>
      </c>
      <c r="BM21" s="11" t="n">
        <v>22</v>
      </c>
      <c r="BN21" s="11" t="n">
        <v>0</v>
      </c>
      <c r="BO21" s="11" t="n">
        <v>2</v>
      </c>
      <c r="BP21" s="11" t="n">
        <v>265</v>
      </c>
      <c r="BQ21" s="11" t="n">
        <v>530</v>
      </c>
      <c r="BR21" s="11" t="n">
        <v>998</v>
      </c>
      <c r="BS21" s="11" t="n">
        <v>23693</v>
      </c>
    </row>
    <row r="22">
      <c r="A22" s="11" t="n">
        <v>2023</v>
      </c>
      <c r="B22" t="inlineStr">
        <is>
          <t>Sud-ouest</t>
        </is>
      </c>
      <c r="C22" t="inlineStr">
        <is>
          <t>Nouvelle-Aquitaine</t>
        </is>
      </c>
      <c r="D22" t="inlineStr">
        <is>
          <t>19</t>
        </is>
      </c>
      <c r="E22" t="inlineStr">
        <is>
          <t>Corr�ze</t>
        </is>
      </c>
      <c r="F22" t="inlineStr">
        <is>
          <t>C</t>
        </is>
      </c>
      <c r="G22" s="11" t="n">
        <v>370</v>
      </c>
      <c r="H22" s="11" t="n">
        <v>202</v>
      </c>
      <c r="I22" s="11" t="n">
        <v>9</v>
      </c>
      <c r="J22" s="11" t="n">
        <v>12</v>
      </c>
      <c r="K22" s="11" t="n">
        <v>7</v>
      </c>
      <c r="L22" s="11" t="n">
        <v>7</v>
      </c>
      <c r="M22" s="11" t="n">
        <v>16</v>
      </c>
      <c r="N22" s="11" t="n">
        <v>126</v>
      </c>
      <c r="O22" s="11" t="n">
        <v>135</v>
      </c>
      <c r="P22" s="11" t="n">
        <v>185</v>
      </c>
      <c r="Q22" s="11" t="n">
        <v>122</v>
      </c>
      <c r="R22" s="11" t="n">
        <v>989</v>
      </c>
      <c r="S22" s="11" t="n">
        <v>80</v>
      </c>
      <c r="T22" s="11" t="n">
        <v>631</v>
      </c>
      <c r="U22" s="11" t="n">
        <v>94</v>
      </c>
      <c r="V22" s="11" t="n">
        <v>1084</v>
      </c>
      <c r="W22" s="11" t="n">
        <v>0</v>
      </c>
      <c r="X22" s="11" t="n">
        <v>71</v>
      </c>
      <c r="Y22" s="11" t="n">
        <v>3349</v>
      </c>
      <c r="Z22" s="11" t="n">
        <v>1763</v>
      </c>
      <c r="AA22" s="11" t="n">
        <v>8</v>
      </c>
      <c r="AB22" s="11" t="n">
        <v>1732</v>
      </c>
      <c r="AC22" s="11" t="n">
        <v>254</v>
      </c>
      <c r="AD22" s="11" t="n">
        <v>9</v>
      </c>
      <c r="AE22" s="11" t="n">
        <v>0</v>
      </c>
      <c r="AF22" s="11" t="n">
        <v>23</v>
      </c>
      <c r="AG22" s="11" t="n">
        <v>16</v>
      </c>
      <c r="AH22" s="11" t="n">
        <v>1297</v>
      </c>
      <c r="AI22" s="11" t="n">
        <v>10395</v>
      </c>
      <c r="AJ22" s="11" t="n">
        <v>2386</v>
      </c>
      <c r="AK22" s="11" t="n">
        <v>4</v>
      </c>
      <c r="AL22" s="11" t="n">
        <v>2390</v>
      </c>
      <c r="AM22" s="11" t="n">
        <v>12785</v>
      </c>
      <c r="AN22" s="11" t="n">
        <v>1275</v>
      </c>
      <c r="AO22" s="11" t="n">
        <v>3</v>
      </c>
      <c r="AP22" s="11" t="n">
        <v>1</v>
      </c>
      <c r="AQ22" s="11" t="n">
        <v>0</v>
      </c>
      <c r="AR22" s="11" t="n">
        <v>0</v>
      </c>
      <c r="AS22" s="11" t="n">
        <v>1279</v>
      </c>
      <c r="AT22" s="11" t="n">
        <v>104</v>
      </c>
      <c r="AU22" s="11" t="n">
        <v>14</v>
      </c>
      <c r="AV22" s="11" t="n">
        <v>0</v>
      </c>
      <c r="AW22" s="11" t="n">
        <v>7</v>
      </c>
      <c r="AX22" s="11" t="n">
        <v>0</v>
      </c>
      <c r="AY22" s="11" t="n">
        <v>125</v>
      </c>
      <c r="AZ22" s="11" t="n">
        <v>335</v>
      </c>
      <c r="BA22" s="11" t="n">
        <v>41</v>
      </c>
      <c r="BB22" s="11" t="n">
        <v>19</v>
      </c>
      <c r="BC22" s="11" t="n">
        <v>1</v>
      </c>
      <c r="BD22" s="11" t="n">
        <v>0</v>
      </c>
      <c r="BE22" s="11" t="n">
        <v>396</v>
      </c>
      <c r="BF22" s="11" t="n">
        <v>1</v>
      </c>
      <c r="BG22" s="11" t="n">
        <v>0</v>
      </c>
      <c r="BH22" s="11" t="n">
        <v>235</v>
      </c>
      <c r="BI22" s="11" t="n">
        <v>253</v>
      </c>
      <c r="BJ22" s="11" t="n">
        <v>125</v>
      </c>
      <c r="BK22" s="11" t="n">
        <v>0</v>
      </c>
      <c r="BL22" s="11" t="n">
        <v>4</v>
      </c>
      <c r="BM22" s="11" t="n">
        <v>0</v>
      </c>
      <c r="BN22" s="11" t="n">
        <v>70</v>
      </c>
      <c r="BO22" s="11" t="n">
        <v>0</v>
      </c>
      <c r="BP22" s="11" t="n">
        <v>438</v>
      </c>
      <c r="BQ22" s="11" t="n">
        <v>1126</v>
      </c>
      <c r="BR22" s="11" t="n">
        <v>1522</v>
      </c>
      <c r="BS22" s="11" t="n">
        <v>16700</v>
      </c>
    </row>
    <row r="23">
      <c r="A23" s="11" t="n">
        <v>2023</v>
      </c>
      <c r="B23" t="inlineStr">
        <is>
          <t>Est</t>
        </is>
      </c>
      <c r="C23" t="inlineStr">
        <is>
          <t>Bourgogne-Franche-Comt�</t>
        </is>
      </c>
      <c r="D23" t="inlineStr">
        <is>
          <t>21</t>
        </is>
      </c>
      <c r="E23" t="inlineStr">
        <is>
          <t>C�te-d'Or</t>
        </is>
      </c>
      <c r="F23" t="inlineStr">
        <is>
          <t>B</t>
        </is>
      </c>
      <c r="G23" s="11" t="n">
        <v>549</v>
      </c>
      <c r="H23" s="11" t="n">
        <v>250</v>
      </c>
      <c r="I23" s="11" t="n">
        <v>14</v>
      </c>
      <c r="J23" s="11" t="n">
        <v>38</v>
      </c>
      <c r="K23" s="11" t="n">
        <v>47</v>
      </c>
      <c r="L23" s="11" t="n">
        <v>5</v>
      </c>
      <c r="M23" s="11" t="n">
        <v>17</v>
      </c>
      <c r="N23" s="11" t="n">
        <v>232</v>
      </c>
      <c r="O23" s="11" t="n">
        <v>387</v>
      </c>
      <c r="P23" s="11" t="n">
        <v>477</v>
      </c>
      <c r="Q23" s="11" t="n">
        <v>486</v>
      </c>
      <c r="R23" s="11" t="n">
        <v>2252</v>
      </c>
      <c r="S23" s="11" t="n">
        <v>0</v>
      </c>
      <c r="T23" s="11" t="n">
        <v>134</v>
      </c>
      <c r="U23" s="11" t="n">
        <v>0</v>
      </c>
      <c r="V23" s="11" t="n">
        <v>0</v>
      </c>
      <c r="W23" s="11" t="n">
        <v>0</v>
      </c>
      <c r="X23" s="11" t="n">
        <v>0</v>
      </c>
      <c r="Y23" s="11" t="n">
        <v>5026</v>
      </c>
      <c r="Z23" s="11" t="n">
        <v>4471</v>
      </c>
      <c r="AA23" s="11" t="n">
        <v>0</v>
      </c>
      <c r="AB23" s="11" t="n">
        <v>6163</v>
      </c>
      <c r="AC23" s="11" t="n">
        <v>526</v>
      </c>
      <c r="AD23" s="11" t="n">
        <v>9</v>
      </c>
      <c r="AE23" s="11" t="n">
        <v>0</v>
      </c>
      <c r="AF23" s="11" t="n">
        <v>39</v>
      </c>
      <c r="AG23" s="11" t="n">
        <v>35</v>
      </c>
      <c r="AH23" s="11" t="n">
        <v>2907</v>
      </c>
      <c r="AI23" s="11" t="n">
        <v>19275</v>
      </c>
      <c r="AJ23" s="11" t="n">
        <v>4</v>
      </c>
      <c r="AK23" s="11" t="n">
        <v>376</v>
      </c>
      <c r="AL23" s="11" t="n">
        <v>380</v>
      </c>
      <c r="AM23" s="11" t="n">
        <v>19655</v>
      </c>
      <c r="AN23" s="11" t="n">
        <v>2263</v>
      </c>
      <c r="AO23" s="11" t="n">
        <v>12</v>
      </c>
      <c r="AP23" s="11" t="n">
        <v>8</v>
      </c>
      <c r="AQ23" s="11" t="n">
        <v>1</v>
      </c>
      <c r="AR23" s="11" t="n">
        <v>0</v>
      </c>
      <c r="AS23" s="11" t="n">
        <v>2284</v>
      </c>
      <c r="AT23" s="11" t="n">
        <v>211</v>
      </c>
      <c r="AU23" s="11" t="n">
        <v>174</v>
      </c>
      <c r="AV23" s="11" t="n">
        <v>38</v>
      </c>
      <c r="AW23" s="11" t="n">
        <v>24</v>
      </c>
      <c r="AX23" s="11" t="n">
        <v>7</v>
      </c>
      <c r="AY23" s="11" t="n">
        <v>454</v>
      </c>
      <c r="AZ23" s="11" t="n">
        <v>422</v>
      </c>
      <c r="BA23" s="11" t="n">
        <v>231</v>
      </c>
      <c r="BB23" s="11" t="n">
        <v>0</v>
      </c>
      <c r="BC23" s="11" t="n">
        <v>6</v>
      </c>
      <c r="BD23" s="11" t="n">
        <v>0</v>
      </c>
      <c r="BE23" s="11" t="n">
        <v>659</v>
      </c>
      <c r="BF23" s="11" t="n">
        <v>0</v>
      </c>
      <c r="BG23" s="11" t="n">
        <v>0</v>
      </c>
      <c r="BH23" s="11" t="n">
        <v>175</v>
      </c>
      <c r="BI23" s="11" t="n">
        <v>349</v>
      </c>
      <c r="BJ23" s="11" t="n">
        <v>23</v>
      </c>
      <c r="BK23" s="11" t="n">
        <v>0</v>
      </c>
      <c r="BL23" s="11" t="n">
        <v>2</v>
      </c>
      <c r="BM23" s="11" t="n">
        <v>142</v>
      </c>
      <c r="BN23" s="11" t="n">
        <v>29</v>
      </c>
      <c r="BO23" s="11" t="n">
        <v>0</v>
      </c>
      <c r="BP23" s="11" t="n">
        <v>407</v>
      </c>
      <c r="BQ23" s="11" t="n">
        <v>1127</v>
      </c>
      <c r="BR23" s="11" t="n">
        <v>1786</v>
      </c>
      <c r="BS23" s="11" t="n">
        <v>26431</v>
      </c>
    </row>
    <row r="24">
      <c r="A24" s="11" t="n">
        <v>2023</v>
      </c>
      <c r="B24" t="inlineStr">
        <is>
          <t>Ouest</t>
        </is>
      </c>
      <c r="C24" t="inlineStr">
        <is>
          <t>Bretagne</t>
        </is>
      </c>
      <c r="D24" t="inlineStr">
        <is>
          <t>22</t>
        </is>
      </c>
      <c r="E24" t="inlineStr">
        <is>
          <t>C�tes-d'Armor</t>
        </is>
      </c>
      <c r="F24" t="inlineStr">
        <is>
          <t>B</t>
        </is>
      </c>
      <c r="G24" s="11" t="n">
        <v>1545</v>
      </c>
      <c r="H24" s="11" t="n">
        <v>227</v>
      </c>
      <c r="I24" s="11" t="n">
        <v>104</v>
      </c>
      <c r="J24" s="11" t="n">
        <v>58</v>
      </c>
      <c r="K24" s="11" t="n">
        <v>83</v>
      </c>
      <c r="L24" s="11" t="n">
        <v>18</v>
      </c>
      <c r="M24" s="11" t="n">
        <v>102</v>
      </c>
      <c r="N24" s="11" t="n">
        <v>281</v>
      </c>
      <c r="O24" s="11" t="n">
        <v>268</v>
      </c>
      <c r="P24" s="11" t="n">
        <v>290</v>
      </c>
      <c r="Q24" s="11" t="n">
        <v>501</v>
      </c>
      <c r="R24" s="11" t="n">
        <v>3250</v>
      </c>
      <c r="S24" s="11" t="n">
        <v>697</v>
      </c>
      <c r="T24" s="11" t="n">
        <v>3549</v>
      </c>
      <c r="U24" s="11" t="n">
        <v>894</v>
      </c>
      <c r="V24" s="11" t="n">
        <v>2462</v>
      </c>
      <c r="W24" s="11" t="n">
        <v>0</v>
      </c>
      <c r="X24" s="11" t="n">
        <v>587</v>
      </c>
      <c r="Y24" s="11" t="n">
        <v>10330</v>
      </c>
      <c r="Z24" s="11" t="n">
        <v>8506</v>
      </c>
      <c r="AA24" s="11" t="n">
        <v>129</v>
      </c>
      <c r="AB24" s="11" t="n">
        <v>4000</v>
      </c>
      <c r="AC24" s="11" t="n">
        <v>561</v>
      </c>
      <c r="AD24" s="11" t="n">
        <v>19</v>
      </c>
      <c r="AE24" s="11" t="n">
        <v>107</v>
      </c>
      <c r="AF24" s="11" t="n">
        <v>271</v>
      </c>
      <c r="AG24" s="11" t="n">
        <v>21</v>
      </c>
      <c r="AH24" s="11" t="n">
        <v>8</v>
      </c>
      <c r="AI24" s="11" t="n">
        <v>32120</v>
      </c>
      <c r="AJ24" s="11" t="n">
        <v>493</v>
      </c>
      <c r="AK24" s="11" t="n">
        <v>4</v>
      </c>
      <c r="AL24" s="11" t="n">
        <v>497</v>
      </c>
      <c r="AM24" s="11" t="n">
        <v>32617</v>
      </c>
      <c r="AN24" s="11" t="n">
        <v>2625</v>
      </c>
      <c r="AO24" s="11" t="n">
        <v>2</v>
      </c>
      <c r="AP24" s="11" t="n">
        <v>2</v>
      </c>
      <c r="AQ24" s="11" t="n">
        <v>10</v>
      </c>
      <c r="AR24" s="11" t="n">
        <v>0</v>
      </c>
      <c r="AS24" s="11" t="n">
        <v>2639</v>
      </c>
      <c r="AT24" s="11" t="n">
        <v>155</v>
      </c>
      <c r="AU24" s="11" t="n">
        <v>37</v>
      </c>
      <c r="AV24" s="11" t="n">
        <v>104</v>
      </c>
      <c r="AW24" s="11" t="n">
        <v>45</v>
      </c>
      <c r="AX24" s="11" t="n">
        <v>88</v>
      </c>
      <c r="AY24" s="11" t="n">
        <v>429</v>
      </c>
      <c r="AZ24" s="11" t="n">
        <v>206</v>
      </c>
      <c r="BA24" s="11" t="n">
        <v>226</v>
      </c>
      <c r="BB24" s="11" t="n">
        <v>501</v>
      </c>
      <c r="BC24" s="11" t="n">
        <v>47</v>
      </c>
      <c r="BD24" s="11" t="n">
        <v>22</v>
      </c>
      <c r="BE24" s="11" t="n">
        <v>1002</v>
      </c>
      <c r="BF24" s="11" t="n">
        <v>95</v>
      </c>
      <c r="BG24" s="11" t="n">
        <v>0</v>
      </c>
      <c r="BH24" s="11" t="n">
        <v>283</v>
      </c>
      <c r="BI24" s="11" t="n">
        <v>16</v>
      </c>
      <c r="BJ24" s="11" t="n">
        <v>398</v>
      </c>
      <c r="BK24" s="11" t="n">
        <v>13</v>
      </c>
      <c r="BL24" s="11" t="n">
        <v>24</v>
      </c>
      <c r="BM24" s="11" t="n">
        <v>127</v>
      </c>
      <c r="BN24" s="11" t="n">
        <v>5</v>
      </c>
      <c r="BO24" s="11" t="n">
        <v>4</v>
      </c>
      <c r="BP24" s="11" t="n">
        <v>622</v>
      </c>
      <c r="BQ24" s="11" t="n">
        <v>1587</v>
      </c>
      <c r="BR24" s="11" t="n">
        <v>2589</v>
      </c>
      <c r="BS24" s="11" t="n">
        <v>41524</v>
      </c>
    </row>
    <row r="25">
      <c r="A25" s="11" t="n">
        <v>2023</v>
      </c>
      <c r="B25" t="inlineStr">
        <is>
          <t>Sud-ouest</t>
        </is>
      </c>
      <c r="C25" t="inlineStr">
        <is>
          <t>Nouvelle-Aquitaine</t>
        </is>
      </c>
      <c r="D25" t="inlineStr">
        <is>
          <t>23</t>
        </is>
      </c>
      <c r="E25" t="inlineStr">
        <is>
          <t>Creuse</t>
        </is>
      </c>
      <c r="F25" t="inlineStr">
        <is>
          <t>C</t>
        </is>
      </c>
      <c r="G25" s="11" t="n">
        <v>257</v>
      </c>
      <c r="H25" s="11" t="n">
        <v>193</v>
      </c>
      <c r="I25" s="11" t="n">
        <v>0</v>
      </c>
      <c r="J25" s="11" t="n">
        <v>0</v>
      </c>
      <c r="K25" s="11" t="n">
        <v>1</v>
      </c>
      <c r="L25" s="11" t="n">
        <v>0</v>
      </c>
      <c r="M25" s="11" t="n">
        <v>21</v>
      </c>
      <c r="N25" s="11" t="n">
        <v>80</v>
      </c>
      <c r="O25" s="11" t="n">
        <v>63</v>
      </c>
      <c r="P25" s="11" t="n">
        <v>130</v>
      </c>
      <c r="Q25" s="11" t="n">
        <v>113</v>
      </c>
      <c r="R25" s="11" t="n">
        <v>665</v>
      </c>
      <c r="S25" s="11" t="n">
        <v>192</v>
      </c>
      <c r="T25" s="11" t="n">
        <v>1184</v>
      </c>
      <c r="U25" s="11" t="n">
        <v>183</v>
      </c>
      <c r="V25" s="11" t="n">
        <v>671</v>
      </c>
      <c r="W25" s="11" t="n">
        <v>0</v>
      </c>
      <c r="X25" s="11" t="n">
        <v>0</v>
      </c>
      <c r="Y25" s="11" t="n">
        <v>2602</v>
      </c>
      <c r="Z25" s="11" t="n">
        <v>870</v>
      </c>
      <c r="AA25" s="11" t="n">
        <v>0</v>
      </c>
      <c r="AB25" s="11" t="n">
        <v>1139</v>
      </c>
      <c r="AC25" s="11" t="n">
        <v>255</v>
      </c>
      <c r="AD25" s="11" t="n">
        <v>2</v>
      </c>
      <c r="AE25" s="11" t="n">
        <v>0</v>
      </c>
      <c r="AF25" s="11" t="n">
        <v>31</v>
      </c>
      <c r="AG25" s="11" t="n">
        <v>8</v>
      </c>
      <c r="AH25" s="11" t="n">
        <v>22</v>
      </c>
      <c r="AI25" s="11" t="n">
        <v>7151</v>
      </c>
      <c r="AJ25" s="11" t="n">
        <v>1851</v>
      </c>
      <c r="AK25" s="11" t="n">
        <v>0</v>
      </c>
      <c r="AL25" s="11" t="n">
        <v>1851</v>
      </c>
      <c r="AM25" s="11" t="n">
        <v>9002</v>
      </c>
      <c r="AN25" s="11" t="n">
        <v>496</v>
      </c>
      <c r="AO25" s="11" t="n">
        <v>0</v>
      </c>
      <c r="AP25" s="11" t="n">
        <v>1</v>
      </c>
      <c r="AQ25" s="11" t="n">
        <v>0</v>
      </c>
      <c r="AR25" s="11" t="n">
        <v>0</v>
      </c>
      <c r="AS25" s="11" t="n">
        <v>497</v>
      </c>
      <c r="AT25" s="11" t="n">
        <v>33</v>
      </c>
      <c r="AU25" s="11" t="n">
        <v>56</v>
      </c>
      <c r="AV25" s="11" t="n">
        <v>69</v>
      </c>
      <c r="AW25" s="11" t="n">
        <v>9</v>
      </c>
      <c r="AX25" s="11" t="n">
        <v>0</v>
      </c>
      <c r="AY25" s="11" t="n">
        <v>167</v>
      </c>
      <c r="AZ25" s="11" t="n">
        <v>58</v>
      </c>
      <c r="BA25" s="11" t="n">
        <v>167</v>
      </c>
      <c r="BB25" s="11" t="n">
        <v>15</v>
      </c>
      <c r="BC25" s="11" t="n">
        <v>0</v>
      </c>
      <c r="BD25" s="11" t="n">
        <v>0</v>
      </c>
      <c r="BE25" s="11" t="n">
        <v>240</v>
      </c>
      <c r="BF25" s="11" t="n">
        <v>0</v>
      </c>
      <c r="BG25" s="11" t="n">
        <v>0</v>
      </c>
      <c r="BH25" s="11" t="n">
        <v>97</v>
      </c>
      <c r="BI25" s="11" t="n">
        <v>121</v>
      </c>
      <c r="BJ25" s="11" t="n">
        <v>0</v>
      </c>
      <c r="BK25" s="11" t="n">
        <v>0</v>
      </c>
      <c r="BL25" s="11" t="n">
        <v>3</v>
      </c>
      <c r="BM25" s="11" t="n">
        <v>5</v>
      </c>
      <c r="BN25" s="11" t="n">
        <v>0</v>
      </c>
      <c r="BO25" s="11" t="n">
        <v>0</v>
      </c>
      <c r="BP25" s="11" t="n">
        <v>383</v>
      </c>
      <c r="BQ25" s="11" t="n">
        <v>609</v>
      </c>
      <c r="BR25" s="11" t="n">
        <v>849</v>
      </c>
      <c r="BS25" s="11" t="n">
        <v>11180</v>
      </c>
    </row>
    <row r="26">
      <c r="A26" s="11" t="n">
        <v>2023</v>
      </c>
      <c r="B26" t="inlineStr">
        <is>
          <t>Sud-ouest</t>
        </is>
      </c>
      <c r="C26" t="inlineStr">
        <is>
          <t>Nouvelle-Aquitaine</t>
        </is>
      </c>
      <c r="D26" t="inlineStr">
        <is>
          <t>24</t>
        </is>
      </c>
      <c r="E26" t="inlineStr">
        <is>
          <t>Dordogne</t>
        </is>
      </c>
      <c r="F26" t="inlineStr">
        <is>
          <t>B</t>
        </is>
      </c>
      <c r="G26" s="11" t="n">
        <v>643</v>
      </c>
      <c r="H26" s="11" t="n">
        <v>352</v>
      </c>
      <c r="I26" s="11" t="n">
        <v>8</v>
      </c>
      <c r="J26" s="11" t="n">
        <v>19</v>
      </c>
      <c r="K26" s="11" t="n">
        <v>31</v>
      </c>
      <c r="L26" s="11" t="n">
        <v>4</v>
      </c>
      <c r="M26" s="11" t="n">
        <v>35</v>
      </c>
      <c r="N26" s="11" t="n">
        <v>111</v>
      </c>
      <c r="O26" s="11" t="n">
        <v>247</v>
      </c>
      <c r="P26" s="11" t="n">
        <v>350</v>
      </c>
      <c r="Q26" s="11" t="n">
        <v>384</v>
      </c>
      <c r="R26" s="11" t="n">
        <v>1832</v>
      </c>
      <c r="S26" s="11" t="n">
        <v>601</v>
      </c>
      <c r="T26" s="11" t="n">
        <v>2642</v>
      </c>
      <c r="U26" s="11" t="n">
        <v>333</v>
      </c>
      <c r="V26" s="11" t="n">
        <v>3154</v>
      </c>
      <c r="W26" s="11" t="n">
        <v>0</v>
      </c>
      <c r="X26" s="11" t="n">
        <v>416</v>
      </c>
      <c r="Y26" s="11" t="n">
        <v>10422</v>
      </c>
      <c r="Z26" s="11" t="n">
        <v>1093</v>
      </c>
      <c r="AA26" s="11" t="n">
        <v>10</v>
      </c>
      <c r="AB26" s="11" t="n">
        <v>2393</v>
      </c>
      <c r="AC26" s="11" t="n">
        <v>45</v>
      </c>
      <c r="AD26" s="11" t="n">
        <v>32</v>
      </c>
      <c r="AE26" s="11" t="n">
        <v>0</v>
      </c>
      <c r="AF26" s="11" t="n">
        <v>636</v>
      </c>
      <c r="AG26" s="11" t="n">
        <v>43</v>
      </c>
      <c r="AH26" s="11" t="n">
        <v>1679</v>
      </c>
      <c r="AI26" s="11" t="n">
        <v>23456</v>
      </c>
      <c r="AJ26" s="11" t="n">
        <v>3810</v>
      </c>
      <c r="AK26" s="11" t="n">
        <v>5</v>
      </c>
      <c r="AL26" s="11" t="n">
        <v>3815</v>
      </c>
      <c r="AM26" s="11" t="n">
        <v>27271</v>
      </c>
      <c r="AN26" s="11" t="n">
        <v>2130</v>
      </c>
      <c r="AO26" s="11" t="n">
        <v>5</v>
      </c>
      <c r="AP26" s="11" t="n">
        <v>4</v>
      </c>
      <c r="AQ26" s="11" t="n">
        <v>0</v>
      </c>
      <c r="AR26" s="11" t="n">
        <v>0</v>
      </c>
      <c r="AS26" s="11" t="n">
        <v>2139</v>
      </c>
      <c r="AT26" s="11" t="n">
        <v>197</v>
      </c>
      <c r="AU26" s="11" t="n">
        <v>68</v>
      </c>
      <c r="AV26" s="11" t="n">
        <v>90</v>
      </c>
      <c r="AW26" s="11" t="n">
        <v>15</v>
      </c>
      <c r="AX26" s="11" t="n">
        <v>8</v>
      </c>
      <c r="AY26" s="11" t="n">
        <v>378</v>
      </c>
      <c r="AZ26" s="11" t="n">
        <v>249</v>
      </c>
      <c r="BA26" s="11" t="n">
        <v>100</v>
      </c>
      <c r="BB26" s="11" t="n">
        <v>177</v>
      </c>
      <c r="BC26" s="11" t="n">
        <v>10</v>
      </c>
      <c r="BD26" s="11" t="n">
        <v>0</v>
      </c>
      <c r="BE26" s="11" t="n">
        <v>536</v>
      </c>
      <c r="BF26" s="11" t="n">
        <v>72</v>
      </c>
      <c r="BG26" s="11" t="n">
        <v>9</v>
      </c>
      <c r="BH26" s="11" t="n">
        <v>326</v>
      </c>
      <c r="BI26" s="11" t="n">
        <v>213</v>
      </c>
      <c r="BJ26" s="11" t="n">
        <v>157</v>
      </c>
      <c r="BK26" s="11" t="n">
        <v>0</v>
      </c>
      <c r="BL26" s="11" t="n">
        <v>22</v>
      </c>
      <c r="BM26" s="11" t="n">
        <v>33</v>
      </c>
      <c r="BN26" s="11" t="n">
        <v>7</v>
      </c>
      <c r="BO26" s="11" t="n">
        <v>0</v>
      </c>
      <c r="BP26" s="11" t="n">
        <v>372</v>
      </c>
      <c r="BQ26" s="11" t="n">
        <v>1202</v>
      </c>
      <c r="BR26" s="11" t="n">
        <v>1738</v>
      </c>
      <c r="BS26" s="11" t="n">
        <v>33358</v>
      </c>
    </row>
    <row r="27">
      <c r="A27" s="11" t="n">
        <v>2023</v>
      </c>
      <c r="B27" t="inlineStr">
        <is>
          <t>Est</t>
        </is>
      </c>
      <c r="C27" t="inlineStr">
        <is>
          <t>Bourgogne-Franche-Comt�</t>
        </is>
      </c>
      <c r="D27" t="inlineStr">
        <is>
          <t>25</t>
        </is>
      </c>
      <c r="E27" t="inlineStr">
        <is>
          <t>Doubs</t>
        </is>
      </c>
      <c r="F27" t="inlineStr">
        <is>
          <t>B</t>
        </is>
      </c>
      <c r="G27" s="11" t="n">
        <v>766</v>
      </c>
      <c r="H27" s="11" t="n">
        <v>343</v>
      </c>
      <c r="I27" s="11" t="n">
        <v>18</v>
      </c>
      <c r="J27" s="11" t="n">
        <v>39</v>
      </c>
      <c r="K27" s="11" t="n">
        <v>41</v>
      </c>
      <c r="L27" s="11" t="n">
        <v>17</v>
      </c>
      <c r="M27" s="11" t="n">
        <v>38</v>
      </c>
      <c r="N27" s="11" t="n">
        <v>498</v>
      </c>
      <c r="O27" s="11" t="n">
        <v>388</v>
      </c>
      <c r="P27" s="11" t="n">
        <v>320</v>
      </c>
      <c r="Q27" s="11" t="n">
        <v>288</v>
      </c>
      <c r="R27" s="11" t="n">
        <v>2413</v>
      </c>
      <c r="S27" s="11" t="n">
        <v>685</v>
      </c>
      <c r="T27" s="11" t="n">
        <v>2157</v>
      </c>
      <c r="U27" s="11" t="n">
        <v>277</v>
      </c>
      <c r="V27" s="11" t="n">
        <v>5332</v>
      </c>
      <c r="W27" s="11" t="n">
        <v>54</v>
      </c>
      <c r="X27" s="11" t="n">
        <v>652</v>
      </c>
      <c r="Y27" s="11" t="n">
        <v>6160</v>
      </c>
      <c r="Z27" s="11" t="n">
        <v>4091</v>
      </c>
      <c r="AA27" s="11" t="n">
        <v>50</v>
      </c>
      <c r="AB27" s="11" t="n">
        <v>3219</v>
      </c>
      <c r="AC27" s="11" t="n">
        <v>1045</v>
      </c>
      <c r="AD27" s="11" t="n">
        <v>27</v>
      </c>
      <c r="AE27" s="11" t="n">
        <v>0</v>
      </c>
      <c r="AF27" s="11" t="n">
        <v>46</v>
      </c>
      <c r="AG27" s="11" t="n">
        <v>42</v>
      </c>
      <c r="AH27" s="11" t="n">
        <v>646</v>
      </c>
      <c r="AI27" s="11" t="n">
        <v>24441</v>
      </c>
      <c r="AJ27" s="11" t="n">
        <v>2495</v>
      </c>
      <c r="AK27" s="11" t="n">
        <v>24</v>
      </c>
      <c r="AL27" s="11" t="n">
        <v>2519</v>
      </c>
      <c r="AM27" s="11" t="n">
        <v>26960</v>
      </c>
      <c r="AN27" s="11" t="n">
        <v>2392</v>
      </c>
      <c r="AO27" s="11" t="n">
        <v>6</v>
      </c>
      <c r="AP27" s="11" t="n">
        <v>0</v>
      </c>
      <c r="AQ27" s="11" t="n">
        <v>4</v>
      </c>
      <c r="AR27" s="11" t="n">
        <v>0</v>
      </c>
      <c r="AS27" s="11" t="n">
        <v>2402</v>
      </c>
      <c r="AT27" s="11" t="n">
        <v>156</v>
      </c>
      <c r="AU27" s="11" t="n">
        <v>176</v>
      </c>
      <c r="AV27" s="11" t="n">
        <v>0</v>
      </c>
      <c r="AW27" s="11" t="n">
        <v>63</v>
      </c>
      <c r="AX27" s="11" t="n">
        <v>46</v>
      </c>
      <c r="AY27" s="11" t="n">
        <v>441</v>
      </c>
      <c r="AZ27" s="11" t="n">
        <v>415</v>
      </c>
      <c r="BA27" s="11" t="n">
        <v>77</v>
      </c>
      <c r="BB27" s="11" t="n">
        <v>392</v>
      </c>
      <c r="BC27" s="11" t="n">
        <v>84</v>
      </c>
      <c r="BD27" s="11" t="n">
        <v>0</v>
      </c>
      <c r="BE27" s="11" t="n">
        <v>968</v>
      </c>
      <c r="BF27" s="11" t="n">
        <v>686</v>
      </c>
      <c r="BG27" s="11" t="n">
        <v>218</v>
      </c>
      <c r="BH27" s="11" t="n">
        <v>274</v>
      </c>
      <c r="BI27" s="11" t="n">
        <v>279</v>
      </c>
      <c r="BJ27" s="11" t="n">
        <v>17</v>
      </c>
      <c r="BK27" s="11" t="n">
        <v>0</v>
      </c>
      <c r="BL27" s="11" t="n">
        <v>6</v>
      </c>
      <c r="BM27" s="11" t="n">
        <v>117</v>
      </c>
      <c r="BN27" s="11" t="n">
        <v>13</v>
      </c>
      <c r="BO27" s="11" t="n">
        <v>2</v>
      </c>
      <c r="BP27" s="11" t="n">
        <v>90</v>
      </c>
      <c r="BQ27" s="11" t="n">
        <v>1484</v>
      </c>
      <c r="BR27" s="11" t="n">
        <v>2452</v>
      </c>
      <c r="BS27" s="11" t="n">
        <v>34668</v>
      </c>
    </row>
    <row r="28">
      <c r="A28" s="11" t="n">
        <v>2023</v>
      </c>
      <c r="B28" t="inlineStr">
        <is>
          <t>Sud-est</t>
        </is>
      </c>
      <c r="C28" t="inlineStr">
        <is>
          <t>Auvergne-Rh�ne-Alpes</t>
        </is>
      </c>
      <c r="D28" t="inlineStr">
        <is>
          <t>26</t>
        </is>
      </c>
      <c r="E28" t="inlineStr">
        <is>
          <t>Dr�me</t>
        </is>
      </c>
      <c r="F28" t="inlineStr">
        <is>
          <t>B</t>
        </is>
      </c>
      <c r="G28" s="11" t="n">
        <v>510</v>
      </c>
      <c r="H28" s="11" t="n">
        <v>132</v>
      </c>
      <c r="I28" s="11" t="n">
        <v>14</v>
      </c>
      <c r="J28" s="11" t="n">
        <v>27</v>
      </c>
      <c r="K28" s="11" t="n">
        <v>79</v>
      </c>
      <c r="L28" s="11" t="n">
        <v>8</v>
      </c>
      <c r="M28" s="11" t="n">
        <v>30</v>
      </c>
      <c r="N28" s="11" t="n">
        <v>278</v>
      </c>
      <c r="O28" s="11" t="n">
        <v>500</v>
      </c>
      <c r="P28" s="11" t="n">
        <v>878</v>
      </c>
      <c r="Q28" s="11" t="n">
        <v>332</v>
      </c>
      <c r="R28" s="11" t="n">
        <v>2656</v>
      </c>
      <c r="S28" s="11" t="n">
        <v>1123</v>
      </c>
      <c r="T28" s="11" t="n">
        <v>7411</v>
      </c>
      <c r="U28" s="11" t="n">
        <v>1965</v>
      </c>
      <c r="V28" s="11" t="n">
        <v>7412</v>
      </c>
      <c r="W28" s="11" t="n">
        <v>73</v>
      </c>
      <c r="X28" s="11" t="n">
        <v>1946</v>
      </c>
      <c r="Y28" s="11" t="n">
        <v>5123</v>
      </c>
      <c r="Z28" s="11" t="n">
        <v>1467</v>
      </c>
      <c r="AA28" s="11" t="n">
        <v>2165</v>
      </c>
      <c r="AB28" s="11" t="n">
        <v>3027</v>
      </c>
      <c r="AC28" s="11" t="n">
        <v>163</v>
      </c>
      <c r="AD28" s="11" t="n">
        <v>35</v>
      </c>
      <c r="AE28" s="11" t="n">
        <v>0</v>
      </c>
      <c r="AF28" s="11" t="n">
        <v>38</v>
      </c>
      <c r="AG28" s="11" t="n">
        <v>0</v>
      </c>
      <c r="AH28" s="11" t="n">
        <v>67</v>
      </c>
      <c r="AI28" s="11" t="n">
        <v>32015</v>
      </c>
      <c r="AJ28" s="11" t="n">
        <v>0</v>
      </c>
      <c r="AK28" s="11" t="n">
        <v>0</v>
      </c>
      <c r="AL28" s="11" t="n">
        <v>0</v>
      </c>
      <c r="AM28" s="11" t="n">
        <v>32015</v>
      </c>
      <c r="AN28" s="11" t="n">
        <v>2696</v>
      </c>
      <c r="AO28" s="11" t="n">
        <v>0</v>
      </c>
      <c r="AP28" s="11" t="n">
        <v>2</v>
      </c>
      <c r="AQ28" s="11" t="n">
        <v>9</v>
      </c>
      <c r="AR28" s="11" t="n">
        <v>0</v>
      </c>
      <c r="AS28" s="11" t="n">
        <v>2707</v>
      </c>
      <c r="AT28" s="11" t="n">
        <v>256</v>
      </c>
      <c r="AU28" s="11" t="n">
        <v>78</v>
      </c>
      <c r="AV28" s="11" t="n">
        <v>2</v>
      </c>
      <c r="AW28" s="11" t="n">
        <v>5</v>
      </c>
      <c r="AX28" s="11" t="n">
        <v>1</v>
      </c>
      <c r="AY28" s="11" t="n">
        <v>342</v>
      </c>
      <c r="AZ28" s="11" t="n">
        <v>369</v>
      </c>
      <c r="BA28" s="11" t="n">
        <v>485</v>
      </c>
      <c r="BB28" s="11" t="n">
        <v>1697</v>
      </c>
      <c r="BC28" s="11" t="n">
        <v>98</v>
      </c>
      <c r="BD28" s="11" t="n">
        <v>0</v>
      </c>
      <c r="BE28" s="11" t="n">
        <v>2649</v>
      </c>
      <c r="BF28" s="11" t="n">
        <v>0</v>
      </c>
      <c r="BG28" s="11" t="n">
        <v>0</v>
      </c>
      <c r="BH28" s="11" t="n">
        <v>389</v>
      </c>
      <c r="BI28" s="11" t="n">
        <v>298</v>
      </c>
      <c r="BJ28" s="11" t="n">
        <v>1309</v>
      </c>
      <c r="BK28" s="11" t="n">
        <v>2</v>
      </c>
      <c r="BL28" s="11" t="n">
        <v>8</v>
      </c>
      <c r="BM28" s="11" t="n">
        <v>96</v>
      </c>
      <c r="BN28" s="11" t="n">
        <v>152</v>
      </c>
      <c r="BO28" s="11" t="n">
        <v>0</v>
      </c>
      <c r="BP28" s="11" t="n">
        <v>219</v>
      </c>
      <c r="BQ28" s="11" t="n">
        <v>2473</v>
      </c>
      <c r="BR28" s="11" t="n">
        <v>5122</v>
      </c>
      <c r="BS28" s="11" t="n">
        <v>42842</v>
      </c>
    </row>
    <row r="29">
      <c r="A29" s="11" t="n">
        <v>2023</v>
      </c>
      <c r="B29" t="inlineStr">
        <is>
          <t>Ouest</t>
        </is>
      </c>
      <c r="C29" t="inlineStr">
        <is>
          <t>Normandie</t>
        </is>
      </c>
      <c r="D29" t="inlineStr">
        <is>
          <t>27</t>
        </is>
      </c>
      <c r="E29" t="inlineStr">
        <is>
          <t>Eure</t>
        </is>
      </c>
      <c r="F29" t="inlineStr">
        <is>
          <t>B</t>
        </is>
      </c>
      <c r="G29" s="11" t="n">
        <v>754</v>
      </c>
      <c r="H29" s="11" t="n">
        <v>294</v>
      </c>
      <c r="I29" s="11" t="n">
        <v>13</v>
      </c>
      <c r="J29" s="11" t="n">
        <v>55</v>
      </c>
      <c r="K29" s="11" t="n">
        <v>25</v>
      </c>
      <c r="L29" s="11" t="n">
        <v>19</v>
      </c>
      <c r="M29" s="11" t="n">
        <v>22</v>
      </c>
      <c r="N29" s="11" t="n">
        <v>480</v>
      </c>
      <c r="O29" s="11" t="n">
        <v>483</v>
      </c>
      <c r="P29" s="11" t="n">
        <v>553</v>
      </c>
      <c r="Q29" s="11" t="n">
        <v>505</v>
      </c>
      <c r="R29" s="11" t="n">
        <v>2909</v>
      </c>
      <c r="S29" s="11" t="n">
        <v>450</v>
      </c>
      <c r="T29" s="11" t="n">
        <v>4443</v>
      </c>
      <c r="U29" s="11" t="n">
        <v>0</v>
      </c>
      <c r="V29" s="11" t="n">
        <v>3434</v>
      </c>
      <c r="W29" s="11" t="n">
        <v>0</v>
      </c>
      <c r="X29" s="11" t="n">
        <v>377</v>
      </c>
      <c r="Y29" s="11" t="n">
        <v>10782</v>
      </c>
      <c r="Z29" s="11" t="n">
        <v>5384</v>
      </c>
      <c r="AA29" s="11" t="n">
        <v>0</v>
      </c>
      <c r="AB29" s="11" t="n">
        <v>4559</v>
      </c>
      <c r="AC29" s="11" t="n">
        <v>898</v>
      </c>
      <c r="AD29" s="11" t="n">
        <v>16</v>
      </c>
      <c r="AE29" s="11" t="n">
        <v>0</v>
      </c>
      <c r="AF29" s="11" t="n">
        <v>501</v>
      </c>
      <c r="AG29" s="11" t="n">
        <v>34</v>
      </c>
      <c r="AH29" s="11" t="n">
        <v>415</v>
      </c>
      <c r="AI29" s="11" t="n">
        <v>31259</v>
      </c>
      <c r="AJ29" s="11" t="n">
        <v>3907</v>
      </c>
      <c r="AK29" s="11" t="n">
        <v>2253</v>
      </c>
      <c r="AL29" s="11" t="n">
        <v>6160</v>
      </c>
      <c r="AM29" s="11" t="n">
        <v>37419</v>
      </c>
      <c r="AN29" s="11" t="n">
        <v>2612</v>
      </c>
      <c r="AO29" s="11" t="n">
        <v>0</v>
      </c>
      <c r="AP29" s="11" t="n">
        <v>0</v>
      </c>
      <c r="AQ29" s="11" t="n">
        <v>7</v>
      </c>
      <c r="AR29" s="11" t="n">
        <v>0</v>
      </c>
      <c r="AS29" s="11" t="n">
        <v>2619</v>
      </c>
      <c r="AT29" s="11" t="n">
        <v>207</v>
      </c>
      <c r="AU29" s="11" t="n">
        <v>185</v>
      </c>
      <c r="AV29" s="11" t="n">
        <v>109</v>
      </c>
      <c r="AW29" s="11" t="n">
        <v>19</v>
      </c>
      <c r="AX29" s="11" t="n">
        <v>2</v>
      </c>
      <c r="AY29" s="11" t="n">
        <v>522</v>
      </c>
      <c r="AZ29" s="11" t="n">
        <v>0</v>
      </c>
      <c r="BA29" s="11" t="n">
        <v>528</v>
      </c>
      <c r="BB29" s="11" t="n">
        <v>123</v>
      </c>
      <c r="BC29" s="11" t="n">
        <v>0</v>
      </c>
      <c r="BD29" s="11" t="n">
        <v>0</v>
      </c>
      <c r="BE29" s="11" t="n">
        <v>651</v>
      </c>
      <c r="BF29" s="11" t="n">
        <v>0</v>
      </c>
      <c r="BG29" s="11" t="n">
        <v>0</v>
      </c>
      <c r="BH29" s="11" t="n">
        <v>307</v>
      </c>
      <c r="BI29" s="11" t="n">
        <v>128</v>
      </c>
      <c r="BJ29" s="11" t="n">
        <v>436</v>
      </c>
      <c r="BK29" s="11" t="n">
        <v>0</v>
      </c>
      <c r="BL29" s="11" t="n">
        <v>5</v>
      </c>
      <c r="BM29" s="11" t="n">
        <v>0</v>
      </c>
      <c r="BN29" s="11" t="n">
        <v>26</v>
      </c>
      <c r="BO29" s="11" t="n">
        <v>5</v>
      </c>
      <c r="BP29" s="11" t="n">
        <v>541</v>
      </c>
      <c r="BQ29" s="11" t="n">
        <v>1448</v>
      </c>
      <c r="BR29" s="11" t="n">
        <v>2099</v>
      </c>
      <c r="BS29" s="11" t="n">
        <v>45568</v>
      </c>
    </row>
    <row r="30">
      <c r="A30" s="11" t="n">
        <v>2023</v>
      </c>
      <c r="B30" t="inlineStr">
        <is>
          <t>Ouest</t>
        </is>
      </c>
      <c r="C30" t="inlineStr">
        <is>
          <t>Centre-Val de Loire</t>
        </is>
      </c>
      <c r="D30" t="inlineStr">
        <is>
          <t>28</t>
        </is>
      </c>
      <c r="E30" t="inlineStr">
        <is>
          <t>Eure-et-Loir</t>
        </is>
      </c>
      <c r="F30" t="inlineStr">
        <is>
          <t>B</t>
        </is>
      </c>
      <c r="G30" s="11" t="n">
        <v>590</v>
      </c>
      <c r="H30" s="11" t="n">
        <v>202</v>
      </c>
      <c r="I30" s="11" t="n">
        <v>11</v>
      </c>
      <c r="J30" s="11" t="n">
        <v>69</v>
      </c>
      <c r="K30" s="11" t="n">
        <v>35</v>
      </c>
      <c r="L30" s="11" t="n">
        <v>0</v>
      </c>
      <c r="M30" s="11" t="n">
        <v>31</v>
      </c>
      <c r="N30" s="11" t="n">
        <v>273</v>
      </c>
      <c r="O30" s="11" t="n">
        <v>343</v>
      </c>
      <c r="P30" s="11" t="n">
        <v>407</v>
      </c>
      <c r="Q30" s="11" t="n">
        <v>70</v>
      </c>
      <c r="R30" s="11" t="n">
        <v>1829</v>
      </c>
      <c r="S30" s="11" t="n">
        <v>761</v>
      </c>
      <c r="T30" s="11" t="n">
        <v>1498</v>
      </c>
      <c r="U30" s="11" t="n">
        <v>0</v>
      </c>
      <c r="V30" s="11" t="n">
        <v>1040</v>
      </c>
      <c r="W30" s="11" t="n">
        <v>0</v>
      </c>
      <c r="X30" s="11" t="n">
        <v>116</v>
      </c>
      <c r="Y30" s="11" t="n">
        <v>8411</v>
      </c>
      <c r="Z30" s="11" t="n">
        <v>2649</v>
      </c>
      <c r="AA30" s="11" t="n">
        <v>0</v>
      </c>
      <c r="AB30" s="11" t="n">
        <v>5178</v>
      </c>
      <c r="AC30" s="11" t="n">
        <v>0</v>
      </c>
      <c r="AD30" s="11" t="n">
        <v>2</v>
      </c>
      <c r="AE30" s="11" t="n">
        <v>0</v>
      </c>
      <c r="AF30" s="11" t="n">
        <v>39</v>
      </c>
      <c r="AG30" s="11" t="n">
        <v>0</v>
      </c>
      <c r="AH30" s="11" t="n">
        <v>333</v>
      </c>
      <c r="AI30" s="11" t="n">
        <v>20027</v>
      </c>
      <c r="AJ30" s="11" t="n">
        <v>1392</v>
      </c>
      <c r="AK30" s="11" t="n">
        <v>15</v>
      </c>
      <c r="AL30" s="11" t="n">
        <v>1407</v>
      </c>
      <c r="AM30" s="11" t="n">
        <v>21434</v>
      </c>
      <c r="AN30" s="11" t="n">
        <v>2096</v>
      </c>
      <c r="AO30" s="11" t="n">
        <v>1</v>
      </c>
      <c r="AP30" s="11" t="n">
        <v>3</v>
      </c>
      <c r="AQ30" s="11" t="n">
        <v>0</v>
      </c>
      <c r="AR30" s="11" t="n">
        <v>0</v>
      </c>
      <c r="AS30" s="11" t="n">
        <v>2100</v>
      </c>
      <c r="AT30" s="11" t="n">
        <v>306</v>
      </c>
      <c r="AU30" s="11" t="n">
        <v>0</v>
      </c>
      <c r="AV30" s="11" t="n">
        <v>101</v>
      </c>
      <c r="AW30" s="11" t="n">
        <v>21</v>
      </c>
      <c r="AX30" s="11" t="n">
        <v>50</v>
      </c>
      <c r="AY30" s="11" t="n">
        <v>478</v>
      </c>
      <c r="AZ30" s="11" t="n">
        <v>89</v>
      </c>
      <c r="BA30" s="11" t="n">
        <v>70</v>
      </c>
      <c r="BB30" s="11" t="n">
        <v>47</v>
      </c>
      <c r="BC30" s="11" t="n">
        <v>0</v>
      </c>
      <c r="BD30" s="11" t="n">
        <v>0</v>
      </c>
      <c r="BE30" s="11" t="n">
        <v>206</v>
      </c>
      <c r="BF30" s="11" t="n">
        <v>528</v>
      </c>
      <c r="BG30" s="11" t="n">
        <v>0</v>
      </c>
      <c r="BH30" s="11" t="n">
        <v>169</v>
      </c>
      <c r="BI30" s="11" t="n">
        <v>179</v>
      </c>
      <c r="BJ30" s="11" t="n">
        <v>0</v>
      </c>
      <c r="BK30" s="11" t="n">
        <v>4</v>
      </c>
      <c r="BL30" s="11" t="n">
        <v>13</v>
      </c>
      <c r="BM30" s="11" t="n">
        <v>74</v>
      </c>
      <c r="BN30" s="11" t="n">
        <v>272</v>
      </c>
      <c r="BO30" s="11" t="n">
        <v>0</v>
      </c>
      <c r="BP30" s="11" t="n">
        <v>130</v>
      </c>
      <c r="BQ30" s="11" t="n">
        <v>1369</v>
      </c>
      <c r="BR30" s="11" t="n">
        <v>1575</v>
      </c>
      <c r="BS30" s="11" t="n">
        <v>27416</v>
      </c>
    </row>
    <row r="31">
      <c r="A31" s="11" t="n">
        <v>2023</v>
      </c>
      <c r="B31" t="inlineStr">
        <is>
          <t>Ouest</t>
        </is>
      </c>
      <c r="C31" t="inlineStr">
        <is>
          <t>Bretagne</t>
        </is>
      </c>
      <c r="D31" t="inlineStr">
        <is>
          <t>29</t>
        </is>
      </c>
      <c r="E31" t="inlineStr">
        <is>
          <t>Finist�re</t>
        </is>
      </c>
      <c r="F31" t="inlineStr">
        <is>
          <t>A</t>
        </is>
      </c>
      <c r="G31" s="11" t="n">
        <v>1145</v>
      </c>
      <c r="H31" s="11" t="n">
        <v>368</v>
      </c>
      <c r="I31" s="11" t="n">
        <v>29</v>
      </c>
      <c r="J31" s="11" t="n">
        <v>29</v>
      </c>
      <c r="K31" s="11" t="n">
        <v>21</v>
      </c>
      <c r="L31" s="11" t="n">
        <v>12</v>
      </c>
      <c r="M31" s="11" t="n">
        <v>45</v>
      </c>
      <c r="N31" s="11" t="n">
        <v>660</v>
      </c>
      <c r="O31" s="11" t="n">
        <v>527</v>
      </c>
      <c r="P31" s="11" t="n">
        <v>296</v>
      </c>
      <c r="Q31" s="11" t="n">
        <v>1022</v>
      </c>
      <c r="R31" s="11" t="n">
        <v>3786</v>
      </c>
      <c r="S31" s="11" t="n">
        <v>0</v>
      </c>
      <c r="T31" s="11" t="n">
        <v>0</v>
      </c>
      <c r="U31" s="11" t="n">
        <v>0</v>
      </c>
      <c r="V31" s="11" t="n">
        <v>0</v>
      </c>
      <c r="W31" s="11" t="n">
        <v>0</v>
      </c>
      <c r="X31" s="11" t="n">
        <v>0</v>
      </c>
      <c r="Y31" s="11" t="n">
        <v>0</v>
      </c>
      <c r="Z31" s="11" t="n">
        <v>2735</v>
      </c>
      <c r="AA31" s="11" t="n">
        <v>0</v>
      </c>
      <c r="AB31" s="11" t="n">
        <v>0</v>
      </c>
      <c r="AC31" s="11" t="n">
        <v>776</v>
      </c>
      <c r="AD31" s="11" t="n">
        <v>40</v>
      </c>
      <c r="AE31" s="11" t="n">
        <v>126</v>
      </c>
      <c r="AF31" s="11" t="n">
        <v>88</v>
      </c>
      <c r="AG31" s="11" t="n">
        <v>73</v>
      </c>
      <c r="AH31" s="11" t="n">
        <v>35258</v>
      </c>
      <c r="AI31" s="11" t="n">
        <v>39023</v>
      </c>
      <c r="AJ31" s="11" t="n">
        <v>0</v>
      </c>
      <c r="AK31" s="11" t="n">
        <v>49</v>
      </c>
      <c r="AL31" s="11" t="n">
        <v>49</v>
      </c>
      <c r="AM31" s="11" t="n">
        <v>39072</v>
      </c>
      <c r="AN31" s="11" t="n">
        <v>3207</v>
      </c>
      <c r="AO31" s="11" t="n">
        <v>8</v>
      </c>
      <c r="AP31" s="11" t="n">
        <v>1</v>
      </c>
      <c r="AQ31" s="11" t="n">
        <v>65</v>
      </c>
      <c r="AR31" s="11" t="n">
        <v>0</v>
      </c>
      <c r="AS31" s="11" t="n">
        <v>3281</v>
      </c>
      <c r="AT31" s="11" t="n">
        <v>340</v>
      </c>
      <c r="AU31" s="11" t="n">
        <v>51</v>
      </c>
      <c r="AV31" s="11" t="n">
        <v>0</v>
      </c>
      <c r="AW31" s="11" t="n">
        <v>83</v>
      </c>
      <c r="AX31" s="11" t="n">
        <v>0</v>
      </c>
      <c r="AY31" s="11" t="n">
        <v>474</v>
      </c>
      <c r="AZ31" s="11" t="n">
        <v>579</v>
      </c>
      <c r="BA31" s="11" t="n">
        <v>243</v>
      </c>
      <c r="BB31" s="11" t="n">
        <v>228</v>
      </c>
      <c r="BC31" s="11" t="n">
        <v>0</v>
      </c>
      <c r="BD31" s="11" t="n">
        <v>0</v>
      </c>
      <c r="BE31" s="11" t="n">
        <v>1050</v>
      </c>
      <c r="BF31" s="11" t="n">
        <v>8</v>
      </c>
      <c r="BG31" s="11" t="n">
        <v>0</v>
      </c>
      <c r="BH31" s="11" t="n">
        <v>492</v>
      </c>
      <c r="BI31" s="11" t="n">
        <v>318</v>
      </c>
      <c r="BJ31" s="11" t="n">
        <v>1510</v>
      </c>
      <c r="BK31" s="11" t="n">
        <v>58</v>
      </c>
      <c r="BL31" s="11" t="n">
        <v>5</v>
      </c>
      <c r="BM31" s="11" t="n">
        <v>0</v>
      </c>
      <c r="BN31" s="11" t="n">
        <v>0</v>
      </c>
      <c r="BO31" s="11" t="n">
        <v>1</v>
      </c>
      <c r="BP31" s="11" t="n">
        <v>3603</v>
      </c>
      <c r="BQ31" s="11" t="n">
        <v>5995</v>
      </c>
      <c r="BR31" s="11" t="n">
        <v>7045</v>
      </c>
      <c r="BS31" s="11" t="n">
        <v>53658</v>
      </c>
    </row>
    <row r="32">
      <c r="A32" s="11" t="n">
        <v>2023</v>
      </c>
      <c r="B32" t="inlineStr">
        <is>
          <t>Sud</t>
        </is>
      </c>
      <c r="C32" t="inlineStr">
        <is>
          <t>Corse</t>
        </is>
      </c>
      <c r="D32" t="inlineStr">
        <is>
          <t>2a</t>
        </is>
      </c>
      <c r="E32" t="inlineStr">
        <is>
          <t>Corse-du-Sud</t>
        </is>
      </c>
      <c r="F32" t="inlineStr">
        <is>
          <t>C</t>
        </is>
      </c>
      <c r="G32" s="11" t="n">
        <v>170</v>
      </c>
      <c r="H32" s="11" t="n">
        <v>0</v>
      </c>
      <c r="I32" s="11" t="n">
        <v>0</v>
      </c>
      <c r="J32" s="11" t="n">
        <v>25</v>
      </c>
      <c r="K32" s="11" t="n">
        <v>9</v>
      </c>
      <c r="L32" s="11" t="n">
        <v>0</v>
      </c>
      <c r="M32" s="11" t="n">
        <v>0</v>
      </c>
      <c r="N32" s="11" t="n">
        <v>214</v>
      </c>
      <c r="O32" s="11" t="n">
        <v>163</v>
      </c>
      <c r="P32" s="11" t="n">
        <v>295</v>
      </c>
      <c r="Q32" s="11" t="n">
        <v>392</v>
      </c>
      <c r="R32" s="11" t="n">
        <v>1268</v>
      </c>
      <c r="S32" s="11" t="n">
        <v>140</v>
      </c>
      <c r="T32" s="11" t="n">
        <v>1533</v>
      </c>
      <c r="U32" s="11" t="n">
        <v>136</v>
      </c>
      <c r="V32" s="11" t="n">
        <v>1269</v>
      </c>
      <c r="W32" s="11" t="n">
        <v>89</v>
      </c>
      <c r="X32" s="11" t="n">
        <v>0</v>
      </c>
      <c r="Y32" s="11" t="n">
        <v>1452</v>
      </c>
      <c r="Z32" s="11" t="n">
        <v>3061</v>
      </c>
      <c r="AA32" s="11" t="n">
        <v>136</v>
      </c>
      <c r="AB32" s="11" t="n">
        <v>48</v>
      </c>
      <c r="AC32" s="11" t="n">
        <v>174</v>
      </c>
      <c r="AD32" s="11" t="n">
        <v>2</v>
      </c>
      <c r="AE32" s="11" t="n">
        <v>59</v>
      </c>
      <c r="AF32" s="11" t="n">
        <v>9</v>
      </c>
      <c r="AG32" s="11" t="n">
        <v>9</v>
      </c>
      <c r="AH32" s="11" t="n">
        <v>4857</v>
      </c>
      <c r="AI32" s="11" t="n">
        <v>12965</v>
      </c>
      <c r="AJ32" s="11" t="n">
        <v>771</v>
      </c>
      <c r="AK32" s="11" t="n">
        <v>42</v>
      </c>
      <c r="AL32" s="11" t="n">
        <v>813</v>
      </c>
      <c r="AM32" s="11" t="n">
        <v>13778</v>
      </c>
      <c r="AN32" s="11" t="n">
        <v>1226</v>
      </c>
      <c r="AO32" s="11" t="n">
        <v>0</v>
      </c>
      <c r="AP32" s="11" t="n">
        <v>2</v>
      </c>
      <c r="AQ32" s="11" t="n">
        <v>20</v>
      </c>
      <c r="AR32" s="11" t="n">
        <v>0</v>
      </c>
      <c r="AS32" s="11" t="n">
        <v>1248</v>
      </c>
      <c r="AT32" s="11" t="n">
        <v>90</v>
      </c>
      <c r="AU32" s="11" t="n">
        <v>41</v>
      </c>
      <c r="AV32" s="11" t="n">
        <v>22</v>
      </c>
      <c r="AW32" s="11" t="n">
        <v>3</v>
      </c>
      <c r="AX32" s="11" t="n">
        <v>4</v>
      </c>
      <c r="AY32" s="11" t="n">
        <v>160</v>
      </c>
      <c r="AZ32" s="11" t="n">
        <v>0</v>
      </c>
      <c r="BA32" s="11" t="n">
        <v>121</v>
      </c>
      <c r="BB32" s="11" t="n">
        <v>14</v>
      </c>
      <c r="BC32" s="11" t="n">
        <v>50</v>
      </c>
      <c r="BD32" s="11" t="n">
        <v>0</v>
      </c>
      <c r="BE32" s="11" t="n">
        <v>185</v>
      </c>
      <c r="BF32" s="11" t="n">
        <v>0</v>
      </c>
      <c r="BG32" s="11" t="n">
        <v>0</v>
      </c>
      <c r="BH32" s="11" t="n">
        <v>149</v>
      </c>
      <c r="BI32" s="11" t="n">
        <v>29</v>
      </c>
      <c r="BJ32" s="11" t="n">
        <v>0</v>
      </c>
      <c r="BK32" s="11" t="n">
        <v>2</v>
      </c>
      <c r="BL32" s="11" t="n">
        <v>2</v>
      </c>
      <c r="BM32" s="11" t="n">
        <v>50</v>
      </c>
      <c r="BN32" s="11" t="n">
        <v>88</v>
      </c>
      <c r="BO32" s="11" t="n">
        <v>3</v>
      </c>
      <c r="BP32" s="11" t="n">
        <v>543</v>
      </c>
      <c r="BQ32" s="11" t="n">
        <v>866</v>
      </c>
      <c r="BR32" s="11" t="n">
        <v>1051</v>
      </c>
      <c r="BS32" s="11" t="n">
        <v>17505</v>
      </c>
    </row>
    <row r="33">
      <c r="A33" s="11" t="n">
        <v>2023</v>
      </c>
      <c r="B33" t="inlineStr">
        <is>
          <t>Sud</t>
        </is>
      </c>
      <c r="C33" t="inlineStr">
        <is>
          <t>Corse</t>
        </is>
      </c>
      <c r="D33" t="inlineStr">
        <is>
          <t>2b</t>
        </is>
      </c>
      <c r="E33" t="inlineStr">
        <is>
          <t>Haute-Corse</t>
        </is>
      </c>
      <c r="F33" t="inlineStr">
        <is>
          <t>C</t>
        </is>
      </c>
      <c r="G33" s="11" t="n">
        <v>154</v>
      </c>
      <c r="H33" s="11" t="n">
        <v>0</v>
      </c>
      <c r="I33" s="11" t="n">
        <v>7</v>
      </c>
      <c r="J33" s="11" t="n">
        <v>12</v>
      </c>
      <c r="K33" s="11" t="n">
        <v>6</v>
      </c>
      <c r="L33" s="11" t="n">
        <v>0</v>
      </c>
      <c r="M33" s="11" t="n">
        <v>10</v>
      </c>
      <c r="N33" s="11" t="n">
        <v>406</v>
      </c>
      <c r="O33" s="11" t="n">
        <v>222</v>
      </c>
      <c r="P33" s="11" t="n">
        <v>853</v>
      </c>
      <c r="Q33" s="11" t="n">
        <v>143</v>
      </c>
      <c r="R33" s="11" t="n">
        <v>1813</v>
      </c>
      <c r="S33" s="11" t="n">
        <v>296</v>
      </c>
      <c r="T33" s="11" t="n">
        <v>17</v>
      </c>
      <c r="U33" s="11" t="n">
        <v>388</v>
      </c>
      <c r="V33" s="11" t="n">
        <v>68</v>
      </c>
      <c r="W33" s="11" t="n">
        <v>43</v>
      </c>
      <c r="X33" s="11" t="n">
        <v>34</v>
      </c>
      <c r="Y33" s="11" t="n">
        <v>2590</v>
      </c>
      <c r="Z33" s="11" t="n">
        <v>2913</v>
      </c>
      <c r="AA33" s="11" t="n">
        <v>0</v>
      </c>
      <c r="AB33" s="11" t="n">
        <v>2528</v>
      </c>
      <c r="AC33" s="11" t="n">
        <v>62</v>
      </c>
      <c r="AD33" s="11" t="n">
        <v>3</v>
      </c>
      <c r="AE33" s="11" t="n">
        <v>68</v>
      </c>
      <c r="AF33" s="11" t="n">
        <v>10</v>
      </c>
      <c r="AG33" s="11" t="n">
        <v>0</v>
      </c>
      <c r="AH33" s="11" t="n">
        <v>4157</v>
      </c>
      <c r="AI33" s="11" t="n">
        <v>13177</v>
      </c>
      <c r="AJ33" s="11" t="n">
        <v>192</v>
      </c>
      <c r="AK33" s="11" t="n">
        <v>14</v>
      </c>
      <c r="AL33" s="11" t="n">
        <v>206</v>
      </c>
      <c r="AM33" s="11" t="n">
        <v>13383</v>
      </c>
      <c r="AN33" s="11" t="n">
        <v>1137</v>
      </c>
      <c r="AO33" s="11" t="n">
        <v>0</v>
      </c>
      <c r="AP33" s="11" t="n">
        <v>0</v>
      </c>
      <c r="AQ33" s="11" t="n">
        <v>3</v>
      </c>
      <c r="AR33" s="11" t="n">
        <v>0</v>
      </c>
      <c r="AS33" s="11" t="n">
        <v>1140</v>
      </c>
      <c r="AT33" s="11" t="n">
        <v>63</v>
      </c>
      <c r="AU33" s="11" t="n">
        <v>1</v>
      </c>
      <c r="AV33" s="11" t="n">
        <v>2</v>
      </c>
      <c r="AW33" s="11" t="n">
        <v>7</v>
      </c>
      <c r="AX33" s="11" t="n">
        <v>0</v>
      </c>
      <c r="AY33" s="11" t="n">
        <v>73</v>
      </c>
      <c r="AZ33" s="11" t="n">
        <v>21</v>
      </c>
      <c r="BA33" s="11" t="n">
        <v>127</v>
      </c>
      <c r="BB33" s="11" t="n">
        <v>33</v>
      </c>
      <c r="BC33" s="11" t="n">
        <v>0</v>
      </c>
      <c r="BD33" s="11" t="n">
        <v>1</v>
      </c>
      <c r="BE33" s="11" t="n">
        <v>182</v>
      </c>
      <c r="BF33" s="11" t="n">
        <v>349</v>
      </c>
      <c r="BG33" s="11" t="n">
        <v>0</v>
      </c>
      <c r="BH33" s="11" t="n">
        <v>128</v>
      </c>
      <c r="BI33" s="11" t="n">
        <v>29</v>
      </c>
      <c r="BJ33" s="11" t="n">
        <v>62</v>
      </c>
      <c r="BK33" s="11" t="n">
        <v>20</v>
      </c>
      <c r="BL33" s="11" t="n">
        <v>7</v>
      </c>
      <c r="BM33" s="11" t="n">
        <v>210</v>
      </c>
      <c r="BN33" s="11" t="n">
        <v>0</v>
      </c>
      <c r="BO33" s="11" t="n">
        <v>23</v>
      </c>
      <c r="BP33" s="11" t="n">
        <v>437</v>
      </c>
      <c r="BQ33" s="11" t="n">
        <v>1265</v>
      </c>
      <c r="BR33" s="11" t="n">
        <v>1447</v>
      </c>
      <c r="BS33" s="11" t="n">
        <v>17856</v>
      </c>
    </row>
    <row r="34">
      <c r="A34" s="11" t="n">
        <v>2023</v>
      </c>
      <c r="B34" t="inlineStr">
        <is>
          <t>Sud</t>
        </is>
      </c>
      <c r="C34" t="inlineStr">
        <is>
          <t>Occitanie</t>
        </is>
      </c>
      <c r="D34" t="inlineStr">
        <is>
          <t>30</t>
        </is>
      </c>
      <c r="E34" t="inlineStr">
        <is>
          <t>Gard</t>
        </is>
      </c>
      <c r="F34" t="inlineStr">
        <is>
          <t>B</t>
        </is>
      </c>
      <c r="G34" s="11" t="n">
        <v>735</v>
      </c>
      <c r="H34" s="11" t="n">
        <v>210</v>
      </c>
      <c r="I34" s="11" t="n">
        <v>52</v>
      </c>
      <c r="J34" s="11" t="n">
        <v>39</v>
      </c>
      <c r="K34" s="11" t="n">
        <v>48</v>
      </c>
      <c r="L34" s="11" t="n">
        <v>0</v>
      </c>
      <c r="M34" s="11" t="n">
        <v>23</v>
      </c>
      <c r="N34" s="11" t="n">
        <v>683</v>
      </c>
      <c r="O34" s="11" t="n">
        <v>596</v>
      </c>
      <c r="P34" s="11" t="n">
        <v>1289</v>
      </c>
      <c r="Q34" s="11" t="n">
        <v>0</v>
      </c>
      <c r="R34" s="11" t="n">
        <v>3465</v>
      </c>
      <c r="S34" s="11" t="n">
        <v>1245</v>
      </c>
      <c r="T34" s="11" t="n">
        <v>0</v>
      </c>
      <c r="U34" s="11" t="n">
        <v>249</v>
      </c>
      <c r="V34" s="11" t="n">
        <v>14289</v>
      </c>
      <c r="W34" s="11" t="n">
        <v>0</v>
      </c>
      <c r="X34" s="11" t="n">
        <v>0</v>
      </c>
      <c r="Y34" s="11" t="n">
        <v>8544</v>
      </c>
      <c r="Z34" s="11" t="n">
        <v>15932</v>
      </c>
      <c r="AA34" s="11" t="n">
        <v>0</v>
      </c>
      <c r="AB34" s="11" t="n">
        <v>5044</v>
      </c>
      <c r="AC34" s="11" t="n">
        <v>1328</v>
      </c>
      <c r="AD34" s="11" t="n">
        <v>15</v>
      </c>
      <c r="AE34" s="11" t="n">
        <v>18</v>
      </c>
      <c r="AF34" s="11" t="n">
        <v>54</v>
      </c>
      <c r="AG34" s="11" t="n">
        <v>0</v>
      </c>
      <c r="AH34" s="11" t="n">
        <v>0</v>
      </c>
      <c r="AI34" s="11" t="n">
        <v>46718</v>
      </c>
      <c r="AJ34" s="11" t="n">
        <v>5448</v>
      </c>
      <c r="AK34" s="11" t="n">
        <v>37</v>
      </c>
      <c r="AL34" s="11" t="n">
        <v>5485</v>
      </c>
      <c r="AM34" s="11" t="n">
        <v>52203</v>
      </c>
      <c r="AN34" s="11" t="n">
        <v>3391</v>
      </c>
      <c r="AO34" s="11" t="n">
        <v>1</v>
      </c>
      <c r="AP34" s="11" t="n">
        <v>5</v>
      </c>
      <c r="AQ34" s="11" t="n">
        <v>5</v>
      </c>
      <c r="AR34" s="11" t="n">
        <v>0</v>
      </c>
      <c r="AS34" s="11" t="n">
        <v>3402</v>
      </c>
      <c r="AT34" s="11" t="n">
        <v>709</v>
      </c>
      <c r="AU34" s="11" t="n">
        <v>0</v>
      </c>
      <c r="AV34" s="11" t="n">
        <v>0</v>
      </c>
      <c r="AW34" s="11" t="n">
        <v>14</v>
      </c>
      <c r="AX34" s="11" t="n">
        <v>0</v>
      </c>
      <c r="AY34" s="11" t="n">
        <v>723</v>
      </c>
      <c r="AZ34" s="11" t="n">
        <v>0</v>
      </c>
      <c r="BA34" s="11" t="n">
        <v>119</v>
      </c>
      <c r="BB34" s="11" t="n">
        <v>2826</v>
      </c>
      <c r="BC34" s="11" t="n">
        <v>0</v>
      </c>
      <c r="BD34" s="11" t="n">
        <v>0</v>
      </c>
      <c r="BE34" s="11" t="n">
        <v>2945</v>
      </c>
      <c r="BF34" s="11" t="n">
        <v>158</v>
      </c>
      <c r="BG34" s="11" t="n">
        <v>0</v>
      </c>
      <c r="BH34" s="11" t="n">
        <v>9999</v>
      </c>
      <c r="BI34" s="11" t="n">
        <v>0</v>
      </c>
      <c r="BJ34" s="11" t="n">
        <v>484</v>
      </c>
      <c r="BK34" s="11" t="n">
        <v>0</v>
      </c>
      <c r="BL34" s="11" t="n">
        <v>6</v>
      </c>
      <c r="BM34" s="11" t="n">
        <v>0</v>
      </c>
      <c r="BN34" s="11" t="n">
        <v>0</v>
      </c>
      <c r="BO34" s="11" t="n">
        <v>11</v>
      </c>
      <c r="BP34" s="11" t="n">
        <v>386</v>
      </c>
      <c r="BQ34" s="11" t="n">
        <v>11044</v>
      </c>
      <c r="BR34" s="11" t="n">
        <v>13989</v>
      </c>
      <c r="BS34" s="11" t="n">
        <v>73782</v>
      </c>
    </row>
    <row r="35">
      <c r="A35" s="11" t="n">
        <v>2023</v>
      </c>
      <c r="B35" t="inlineStr">
        <is>
          <t>Sud</t>
        </is>
      </c>
      <c r="C35" t="inlineStr">
        <is>
          <t>Occitanie</t>
        </is>
      </c>
      <c r="D35" t="inlineStr">
        <is>
          <t>31</t>
        </is>
      </c>
      <c r="E35" t="inlineStr">
        <is>
          <t>Haute-Garonne</t>
        </is>
      </c>
      <c r="F35" t="inlineStr">
        <is>
          <t>A</t>
        </is>
      </c>
      <c r="G35" s="11" t="n">
        <v>924</v>
      </c>
      <c r="H35" s="11" t="n">
        <v>242</v>
      </c>
      <c r="I35" s="11" t="n">
        <v>32</v>
      </c>
      <c r="J35" s="11" t="n">
        <v>48</v>
      </c>
      <c r="K35" s="11" t="n">
        <v>33</v>
      </c>
      <c r="L35" s="11" t="n">
        <v>19</v>
      </c>
      <c r="M35" s="11" t="n">
        <v>24</v>
      </c>
      <c r="N35" s="11" t="n">
        <v>667</v>
      </c>
      <c r="O35" s="11" t="n">
        <v>884</v>
      </c>
      <c r="P35" s="11" t="n">
        <v>647</v>
      </c>
      <c r="Q35" s="11" t="n">
        <v>1727</v>
      </c>
      <c r="R35" s="11" t="n">
        <v>5005</v>
      </c>
      <c r="S35" s="11" t="n">
        <v>557</v>
      </c>
      <c r="T35" s="11" t="n">
        <v>4544</v>
      </c>
      <c r="U35" s="11" t="n">
        <v>833</v>
      </c>
      <c r="V35" s="11" t="n">
        <v>4026</v>
      </c>
      <c r="W35" s="11" t="n">
        <v>18</v>
      </c>
      <c r="X35" s="11" t="n">
        <v>549</v>
      </c>
      <c r="Y35" s="11" t="n">
        <v>15907</v>
      </c>
      <c r="Z35" s="11" t="n">
        <v>9092</v>
      </c>
      <c r="AA35" s="11" t="n">
        <v>134</v>
      </c>
      <c r="AB35" s="11" t="n">
        <v>5517</v>
      </c>
      <c r="AC35" s="11" t="n">
        <v>412</v>
      </c>
      <c r="AD35" s="11" t="n">
        <v>51</v>
      </c>
      <c r="AE35" s="11" t="n">
        <v>0</v>
      </c>
      <c r="AF35" s="11" t="n">
        <v>937</v>
      </c>
      <c r="AG35" s="11" t="n">
        <v>107</v>
      </c>
      <c r="AH35" s="11" t="n">
        <v>0</v>
      </c>
      <c r="AI35" s="11" t="n">
        <v>42577</v>
      </c>
      <c r="AJ35" s="11" t="n">
        <v>274</v>
      </c>
      <c r="AK35" s="11" t="n">
        <v>13</v>
      </c>
      <c r="AL35" s="11" t="n">
        <v>287</v>
      </c>
      <c r="AM35" s="11" t="n">
        <v>42864</v>
      </c>
      <c r="AN35" s="11" t="n">
        <v>5244</v>
      </c>
      <c r="AO35" s="11" t="n">
        <v>4</v>
      </c>
      <c r="AP35" s="11" t="n">
        <v>0</v>
      </c>
      <c r="AQ35" s="11" t="n">
        <v>0</v>
      </c>
      <c r="AR35" s="11" t="n">
        <v>0</v>
      </c>
      <c r="AS35" s="11" t="n">
        <v>5248</v>
      </c>
      <c r="AT35" s="11" t="n">
        <v>584</v>
      </c>
      <c r="AU35" s="11" t="n">
        <v>280</v>
      </c>
      <c r="AV35" s="11" t="n">
        <v>82</v>
      </c>
      <c r="AW35" s="11" t="n">
        <v>27</v>
      </c>
      <c r="AX35" s="11" t="n">
        <v>0</v>
      </c>
      <c r="AY35" s="11" t="n">
        <v>973</v>
      </c>
      <c r="AZ35" s="11" t="n">
        <v>428</v>
      </c>
      <c r="BA35" s="11" t="n">
        <v>901</v>
      </c>
      <c r="BB35" s="11" t="n">
        <v>215</v>
      </c>
      <c r="BC35" s="11" t="n">
        <v>0</v>
      </c>
      <c r="BD35" s="11" t="n">
        <v>0</v>
      </c>
      <c r="BE35" s="11" t="n">
        <v>1544</v>
      </c>
      <c r="BF35" s="11" t="n">
        <v>0</v>
      </c>
      <c r="BG35" s="11" t="n">
        <v>0</v>
      </c>
      <c r="BH35" s="11" t="n">
        <v>618</v>
      </c>
      <c r="BI35" s="11" t="n">
        <v>50</v>
      </c>
      <c r="BJ35" s="11" t="n">
        <v>0</v>
      </c>
      <c r="BK35" s="11" t="n">
        <v>0</v>
      </c>
      <c r="BL35" s="11" t="n">
        <v>5</v>
      </c>
      <c r="BM35" s="11" t="n">
        <v>141</v>
      </c>
      <c r="BN35" s="11" t="n">
        <v>1</v>
      </c>
      <c r="BO35" s="11" t="n">
        <v>69</v>
      </c>
      <c r="BP35" s="11" t="n">
        <v>1945</v>
      </c>
      <c r="BQ35" s="11" t="n">
        <v>2829</v>
      </c>
      <c r="BR35" s="11" t="n">
        <v>4373</v>
      </c>
      <c r="BS35" s="11" t="n">
        <v>58463</v>
      </c>
    </row>
    <row r="36">
      <c r="A36" s="11" t="n">
        <v>2023</v>
      </c>
      <c r="B36" t="inlineStr">
        <is>
          <t>Sud</t>
        </is>
      </c>
      <c r="C36" t="inlineStr">
        <is>
          <t>Occitanie</t>
        </is>
      </c>
      <c r="D36" t="inlineStr">
        <is>
          <t>32</t>
        </is>
      </c>
      <c r="E36" t="inlineStr">
        <is>
          <t>Gers</t>
        </is>
      </c>
      <c r="F36" t="inlineStr">
        <is>
          <t>C</t>
        </is>
      </c>
      <c r="G36" s="11" t="n">
        <v>207</v>
      </c>
      <c r="H36" s="11" t="n">
        <v>121</v>
      </c>
      <c r="I36" s="11" t="n">
        <v>5</v>
      </c>
      <c r="J36" s="11" t="n">
        <v>12</v>
      </c>
      <c r="K36" s="11" t="n">
        <v>4</v>
      </c>
      <c r="L36" s="11" t="n">
        <v>0</v>
      </c>
      <c r="M36" s="11" t="n">
        <v>23</v>
      </c>
      <c r="N36" s="11" t="n">
        <v>55</v>
      </c>
      <c r="O36" s="11" t="n">
        <v>99</v>
      </c>
      <c r="P36" s="11" t="n">
        <v>241</v>
      </c>
      <c r="Q36" s="11" t="n">
        <v>226</v>
      </c>
      <c r="R36" s="11" t="n">
        <v>872</v>
      </c>
      <c r="S36" s="11" t="n">
        <v>42</v>
      </c>
      <c r="T36" s="11" t="n">
        <v>840</v>
      </c>
      <c r="U36" s="11" t="n">
        <v>0</v>
      </c>
      <c r="V36" s="11" t="n">
        <v>948</v>
      </c>
      <c r="W36" s="11" t="n">
        <v>0</v>
      </c>
      <c r="X36" s="11" t="n">
        <v>33</v>
      </c>
      <c r="Y36" s="11" t="n">
        <v>1688</v>
      </c>
      <c r="Z36" s="11" t="n">
        <v>1316</v>
      </c>
      <c r="AA36" s="11" t="n">
        <v>0</v>
      </c>
      <c r="AB36" s="11" t="n">
        <v>795</v>
      </c>
      <c r="AC36" s="11" t="n">
        <v>239</v>
      </c>
      <c r="AD36" s="11" t="n">
        <v>15</v>
      </c>
      <c r="AE36" s="11" t="n">
        <v>0</v>
      </c>
      <c r="AF36" s="11" t="n">
        <v>55</v>
      </c>
      <c r="AG36" s="11" t="n">
        <v>0</v>
      </c>
      <c r="AH36" s="11" t="n">
        <v>1807</v>
      </c>
      <c r="AI36" s="11" t="n">
        <v>7778</v>
      </c>
      <c r="AJ36" s="11" t="n">
        <v>1272</v>
      </c>
      <c r="AK36" s="11" t="n">
        <v>2</v>
      </c>
      <c r="AL36" s="11" t="n">
        <v>1274</v>
      </c>
      <c r="AM36" s="11" t="n">
        <v>9052</v>
      </c>
      <c r="AN36" s="11" t="n">
        <v>985</v>
      </c>
      <c r="AO36" s="11" t="n">
        <v>1</v>
      </c>
      <c r="AP36" s="11" t="n">
        <v>1</v>
      </c>
      <c r="AQ36" s="11" t="n">
        <v>0</v>
      </c>
      <c r="AR36" s="11" t="n">
        <v>0</v>
      </c>
      <c r="AS36" s="11" t="n">
        <v>987</v>
      </c>
      <c r="AT36" s="11" t="n">
        <v>57</v>
      </c>
      <c r="AU36" s="11" t="n">
        <v>59</v>
      </c>
      <c r="AV36" s="11" t="n">
        <v>61</v>
      </c>
      <c r="AW36" s="11" t="n">
        <v>9</v>
      </c>
      <c r="AX36" s="11" t="n">
        <v>0</v>
      </c>
      <c r="AY36" s="11" t="n">
        <v>186</v>
      </c>
      <c r="AZ36" s="11" t="n">
        <v>562</v>
      </c>
      <c r="BA36" s="11" t="n">
        <v>19</v>
      </c>
      <c r="BB36" s="11" t="n">
        <v>410</v>
      </c>
      <c r="BC36" s="11" t="n">
        <v>0</v>
      </c>
      <c r="BD36" s="11" t="n">
        <v>0</v>
      </c>
      <c r="BE36" s="11" t="n">
        <v>991</v>
      </c>
      <c r="BF36" s="11" t="n">
        <v>4</v>
      </c>
      <c r="BG36" s="11" t="n">
        <v>0</v>
      </c>
      <c r="BH36" s="11" t="n">
        <v>217</v>
      </c>
      <c r="BI36" s="11" t="n">
        <v>217</v>
      </c>
      <c r="BJ36" s="11" t="n">
        <v>171</v>
      </c>
      <c r="BK36" s="11" t="n">
        <v>0</v>
      </c>
      <c r="BL36" s="11" t="n">
        <v>9</v>
      </c>
      <c r="BM36" s="11" t="n">
        <v>56</v>
      </c>
      <c r="BN36" s="11" t="n">
        <v>59</v>
      </c>
      <c r="BO36" s="11" t="n">
        <v>0</v>
      </c>
      <c r="BP36" s="11" t="n">
        <v>1740</v>
      </c>
      <c r="BQ36" s="11" t="n">
        <v>2473</v>
      </c>
      <c r="BR36" s="11" t="n">
        <v>3464</v>
      </c>
      <c r="BS36" s="11" t="n">
        <v>14561</v>
      </c>
    </row>
    <row r="37">
      <c r="A37" s="11" t="n">
        <v>2023</v>
      </c>
      <c r="B37" t="inlineStr">
        <is>
          <t>Sud-ouest</t>
        </is>
      </c>
      <c r="C37" t="inlineStr">
        <is>
          <t>Nouvelle-Aquitaine</t>
        </is>
      </c>
      <c r="D37" t="inlineStr">
        <is>
          <t>33</t>
        </is>
      </c>
      <c r="E37" t="inlineStr">
        <is>
          <t>Gironde</t>
        </is>
      </c>
      <c r="F37" t="inlineStr">
        <is>
          <t>A</t>
        </is>
      </c>
      <c r="G37" s="11" t="n">
        <v>1200</v>
      </c>
      <c r="H37" s="11" t="n">
        <v>0</v>
      </c>
      <c r="I37" s="11" t="n">
        <v>192</v>
      </c>
      <c r="J37" s="11" t="n">
        <v>0</v>
      </c>
      <c r="K37" s="11" t="n">
        <v>388</v>
      </c>
      <c r="L37" s="11" t="n">
        <v>0</v>
      </c>
      <c r="M37" s="11" t="n">
        <v>0</v>
      </c>
      <c r="N37" s="11" t="n">
        <v>1488</v>
      </c>
      <c r="O37" s="11" t="n">
        <v>1259</v>
      </c>
      <c r="P37" s="11" t="n">
        <v>313</v>
      </c>
      <c r="Q37" s="11" t="n">
        <v>1413</v>
      </c>
      <c r="R37" s="11" t="n">
        <v>6253</v>
      </c>
      <c r="S37" s="11" t="n">
        <v>1606</v>
      </c>
      <c r="T37" s="11" t="n">
        <v>12319</v>
      </c>
      <c r="U37" s="11" t="n">
        <v>0</v>
      </c>
      <c r="V37" s="11" t="n">
        <v>8941</v>
      </c>
      <c r="W37" s="11" t="n">
        <v>0</v>
      </c>
      <c r="X37" s="11" t="n">
        <v>0</v>
      </c>
      <c r="Y37" s="11" t="n">
        <v>51194</v>
      </c>
      <c r="Z37" s="11" t="n">
        <v>9010</v>
      </c>
      <c r="AA37" s="11" t="n">
        <v>0</v>
      </c>
      <c r="AB37" s="11" t="n">
        <v>10845</v>
      </c>
      <c r="AC37" s="11" t="n">
        <v>2335</v>
      </c>
      <c r="AD37" s="11" t="n">
        <v>57</v>
      </c>
      <c r="AE37" s="11" t="n">
        <v>59</v>
      </c>
      <c r="AF37" s="11" t="n">
        <v>181</v>
      </c>
      <c r="AG37" s="11" t="n">
        <v>129</v>
      </c>
      <c r="AH37" s="11" t="n">
        <v>153</v>
      </c>
      <c r="AI37" s="11" t="n">
        <v>96700</v>
      </c>
      <c r="AJ37" s="11" t="n">
        <v>10111</v>
      </c>
      <c r="AK37" s="11" t="n">
        <v>56</v>
      </c>
      <c r="AL37" s="11" t="n">
        <v>10167</v>
      </c>
      <c r="AM37" s="11" t="n">
        <v>106867</v>
      </c>
      <c r="AN37" s="11" t="n">
        <v>6553</v>
      </c>
      <c r="AO37" s="11" t="n">
        <v>3</v>
      </c>
      <c r="AP37" s="11" t="n">
        <v>2</v>
      </c>
      <c r="AQ37" s="11" t="n">
        <v>0</v>
      </c>
      <c r="AR37" s="11" t="n">
        <v>0</v>
      </c>
      <c r="AS37" s="11" t="n">
        <v>6558</v>
      </c>
      <c r="AT37" s="11" t="n">
        <v>1163</v>
      </c>
      <c r="AU37" s="11" t="n">
        <v>420</v>
      </c>
      <c r="AV37" s="11" t="n">
        <v>831</v>
      </c>
      <c r="AW37" s="11" t="n">
        <v>17</v>
      </c>
      <c r="AX37" s="11" t="n">
        <v>0</v>
      </c>
      <c r="AY37" s="11" t="n">
        <v>2431</v>
      </c>
      <c r="AZ37" s="11" t="n">
        <v>1357</v>
      </c>
      <c r="BA37" s="11" t="n">
        <v>1</v>
      </c>
      <c r="BB37" s="11" t="n">
        <v>0</v>
      </c>
      <c r="BC37" s="11" t="n">
        <v>7</v>
      </c>
      <c r="BD37" s="11" t="n">
        <v>21</v>
      </c>
      <c r="BE37" s="11" t="n">
        <v>1386</v>
      </c>
      <c r="BF37" s="11" t="n">
        <v>6757</v>
      </c>
      <c r="BG37" s="11" t="n">
        <v>643</v>
      </c>
      <c r="BH37" s="11" t="n">
        <v>559</v>
      </c>
      <c r="BI37" s="11" t="n">
        <v>17</v>
      </c>
      <c r="BJ37" s="11" t="n">
        <v>19</v>
      </c>
      <c r="BK37" s="11" t="n">
        <v>3</v>
      </c>
      <c r="BL37" s="11" t="n">
        <v>85</v>
      </c>
      <c r="BM37" s="11" t="n">
        <v>427</v>
      </c>
      <c r="BN37" s="11" t="n">
        <v>0</v>
      </c>
      <c r="BO37" s="11" t="n">
        <v>53</v>
      </c>
      <c r="BP37" s="11" t="n">
        <v>1309</v>
      </c>
      <c r="BQ37" s="11" t="n">
        <v>9229</v>
      </c>
      <c r="BR37" s="11" t="n">
        <v>10615</v>
      </c>
      <c r="BS37" s="11" t="n">
        <v>132724</v>
      </c>
    </row>
    <row r="38">
      <c r="A38" s="11" t="n">
        <v>2023</v>
      </c>
      <c r="B38" t="inlineStr">
        <is>
          <t>Sud</t>
        </is>
      </c>
      <c r="C38" t="inlineStr">
        <is>
          <t>Occitanie</t>
        </is>
      </c>
      <c r="D38" t="inlineStr">
        <is>
          <t>34</t>
        </is>
      </c>
      <c r="E38" t="inlineStr">
        <is>
          <t>H�rault</t>
        </is>
      </c>
      <c r="F38" t="inlineStr">
        <is>
          <t>A</t>
        </is>
      </c>
      <c r="G38" s="11" t="n">
        <v>637</v>
      </c>
      <c r="H38" s="11" t="n">
        <v>153</v>
      </c>
      <c r="I38" s="11" t="n">
        <v>21</v>
      </c>
      <c r="J38" s="11" t="n">
        <v>41</v>
      </c>
      <c r="K38" s="11" t="n">
        <v>30</v>
      </c>
      <c r="L38" s="11" t="n">
        <v>0</v>
      </c>
      <c r="M38" s="11" t="n">
        <v>8</v>
      </c>
      <c r="N38" s="11" t="n">
        <v>630</v>
      </c>
      <c r="O38" s="11" t="n">
        <v>854</v>
      </c>
      <c r="P38" s="11" t="n">
        <v>1634</v>
      </c>
      <c r="Q38" s="11" t="n">
        <v>1539</v>
      </c>
      <c r="R38" s="11" t="n">
        <v>5394</v>
      </c>
      <c r="S38" s="11" t="n">
        <v>521</v>
      </c>
      <c r="T38" s="11" t="n">
        <v>13098</v>
      </c>
      <c r="U38" s="11" t="n">
        <v>831</v>
      </c>
      <c r="V38" s="11" t="n">
        <v>4</v>
      </c>
      <c r="W38" s="11" t="n">
        <v>0</v>
      </c>
      <c r="X38" s="11" t="n">
        <v>0</v>
      </c>
      <c r="Y38" s="11" t="n">
        <v>2491</v>
      </c>
      <c r="Z38" s="11" t="n">
        <v>1818</v>
      </c>
      <c r="AA38" s="11" t="n">
        <v>0</v>
      </c>
      <c r="AB38" s="11" t="n">
        <v>23526</v>
      </c>
      <c r="AC38" s="11" t="n">
        <v>841</v>
      </c>
      <c r="AD38" s="11" t="n">
        <v>171</v>
      </c>
      <c r="AE38" s="11" t="n">
        <v>0</v>
      </c>
      <c r="AF38" s="11" t="n">
        <v>1911</v>
      </c>
      <c r="AG38" s="11" t="n">
        <v>0</v>
      </c>
      <c r="AH38" s="11" t="n">
        <v>6735</v>
      </c>
      <c r="AI38" s="11" t="n">
        <v>51947</v>
      </c>
      <c r="AJ38" s="11" t="n">
        <v>5358</v>
      </c>
      <c r="AK38" s="11" t="n">
        <v>1932</v>
      </c>
      <c r="AL38" s="11" t="n">
        <v>7290</v>
      </c>
      <c r="AM38" s="11" t="n">
        <v>59237</v>
      </c>
      <c r="AN38" s="11" t="n">
        <v>4994</v>
      </c>
      <c r="AO38" s="11" t="n">
        <v>0</v>
      </c>
      <c r="AP38" s="11" t="n">
        <v>1</v>
      </c>
      <c r="AQ38" s="11" t="n">
        <v>14</v>
      </c>
      <c r="AR38" s="11" t="n">
        <v>0</v>
      </c>
      <c r="AS38" s="11" t="n">
        <v>5009</v>
      </c>
      <c r="AT38" s="11" t="n">
        <v>245</v>
      </c>
      <c r="AU38" s="11" t="n">
        <v>395</v>
      </c>
      <c r="AV38" s="11" t="n">
        <v>190</v>
      </c>
      <c r="AW38" s="11" t="n">
        <v>32</v>
      </c>
      <c r="AX38" s="11" t="n">
        <v>1</v>
      </c>
      <c r="AY38" s="11" t="n">
        <v>863</v>
      </c>
      <c r="AZ38" s="11" t="n">
        <v>0</v>
      </c>
      <c r="BA38" s="11" t="n">
        <v>378</v>
      </c>
      <c r="BB38" s="11" t="n">
        <v>663</v>
      </c>
      <c r="BC38" s="11" t="n">
        <v>0</v>
      </c>
      <c r="BD38" s="11" t="n">
        <v>0</v>
      </c>
      <c r="BE38" s="11" t="n">
        <v>1041</v>
      </c>
      <c r="BF38" s="11" t="n">
        <v>0</v>
      </c>
      <c r="BG38" s="11" t="n">
        <v>0</v>
      </c>
      <c r="BH38" s="11" t="n">
        <v>792</v>
      </c>
      <c r="BI38" s="11" t="n">
        <v>274</v>
      </c>
      <c r="BJ38" s="11" t="n">
        <v>47</v>
      </c>
      <c r="BK38" s="11" t="n">
        <v>0</v>
      </c>
      <c r="BL38" s="11" t="n">
        <v>16</v>
      </c>
      <c r="BM38" s="11" t="n">
        <v>0</v>
      </c>
      <c r="BN38" s="11" t="n">
        <v>0</v>
      </c>
      <c r="BO38" s="11" t="n">
        <v>15</v>
      </c>
      <c r="BP38" s="11" t="n">
        <v>461</v>
      </c>
      <c r="BQ38" s="11" t="n">
        <v>1605</v>
      </c>
      <c r="BR38" s="11" t="n">
        <v>2646</v>
      </c>
      <c r="BS38" s="11" t="n">
        <v>73149</v>
      </c>
    </row>
    <row r="39">
      <c r="A39" s="11" t="n">
        <v>2023</v>
      </c>
      <c r="B39" t="inlineStr">
        <is>
          <t>Ouest</t>
        </is>
      </c>
      <c r="C39" t="inlineStr">
        <is>
          <t>Bretagne</t>
        </is>
      </c>
      <c r="D39" t="inlineStr">
        <is>
          <t>35</t>
        </is>
      </c>
      <c r="E39" t="inlineStr">
        <is>
          <t>Ille-et-Vilaine</t>
        </is>
      </c>
      <c r="F39" t="inlineStr">
        <is>
          <t>A</t>
        </is>
      </c>
      <c r="G39" s="11" t="n">
        <v>1733</v>
      </c>
      <c r="H39" s="11" t="n">
        <v>395</v>
      </c>
      <c r="I39" s="11" t="n">
        <v>50</v>
      </c>
      <c r="J39" s="11" t="n">
        <v>51</v>
      </c>
      <c r="K39" s="11" t="n">
        <v>40</v>
      </c>
      <c r="L39" s="11" t="n">
        <v>0</v>
      </c>
      <c r="M39" s="11" t="n">
        <v>70</v>
      </c>
      <c r="N39" s="11" t="n">
        <v>1058</v>
      </c>
      <c r="O39" s="11" t="n">
        <v>627</v>
      </c>
      <c r="P39" s="11" t="n">
        <v>486</v>
      </c>
      <c r="Q39" s="11" t="n">
        <v>0</v>
      </c>
      <c r="R39" s="11" t="n">
        <v>4115</v>
      </c>
      <c r="S39" s="11" t="n">
        <v>579</v>
      </c>
      <c r="T39" s="11" t="n">
        <v>4545</v>
      </c>
      <c r="U39" s="11" t="n">
        <v>607</v>
      </c>
      <c r="V39" s="11" t="n">
        <v>6428</v>
      </c>
      <c r="W39" s="11" t="n">
        <v>0</v>
      </c>
      <c r="X39" s="11" t="n">
        <v>552</v>
      </c>
      <c r="Y39" s="11" t="n">
        <v>11226</v>
      </c>
      <c r="Z39" s="11" t="n">
        <v>1494</v>
      </c>
      <c r="AA39" s="11" t="n">
        <v>135</v>
      </c>
      <c r="AB39" s="11" t="n">
        <v>7412</v>
      </c>
      <c r="AC39" s="11" t="n">
        <v>1449</v>
      </c>
      <c r="AD39" s="11" t="n">
        <v>46</v>
      </c>
      <c r="AE39" s="11" t="n">
        <v>80</v>
      </c>
      <c r="AF39" s="11" t="n">
        <v>382</v>
      </c>
      <c r="AG39" s="11" t="n">
        <v>83</v>
      </c>
      <c r="AH39" s="11" t="n">
        <v>236</v>
      </c>
      <c r="AI39" s="11" t="n">
        <v>35171</v>
      </c>
      <c r="AJ39" s="11" t="n">
        <v>268</v>
      </c>
      <c r="AK39" s="11" t="n">
        <v>18</v>
      </c>
      <c r="AL39" s="11" t="n">
        <v>286</v>
      </c>
      <c r="AM39" s="11" t="n">
        <v>35457</v>
      </c>
      <c r="AN39" s="11" t="n">
        <v>4468</v>
      </c>
      <c r="AO39" s="11" t="n">
        <v>9</v>
      </c>
      <c r="AP39" s="11" t="n">
        <v>2</v>
      </c>
      <c r="AQ39" s="11" t="n">
        <v>52</v>
      </c>
      <c r="AR39" s="11" t="n">
        <v>0</v>
      </c>
      <c r="AS39" s="11" t="n">
        <v>4531</v>
      </c>
      <c r="AT39" s="11" t="n">
        <v>93</v>
      </c>
      <c r="AU39" s="11" t="n">
        <v>392</v>
      </c>
      <c r="AV39" s="11" t="n">
        <v>0</v>
      </c>
      <c r="AW39" s="11" t="n">
        <v>41</v>
      </c>
      <c r="AX39" s="11" t="n">
        <v>0</v>
      </c>
      <c r="AY39" s="11" t="n">
        <v>526</v>
      </c>
      <c r="AZ39" s="11" t="n">
        <v>922</v>
      </c>
      <c r="BA39" s="11" t="n">
        <v>103</v>
      </c>
      <c r="BB39" s="11" t="n">
        <v>631</v>
      </c>
      <c r="BC39" s="11" t="n">
        <v>0</v>
      </c>
      <c r="BD39" s="11" t="n">
        <v>0</v>
      </c>
      <c r="BE39" s="11" t="n">
        <v>1656</v>
      </c>
      <c r="BF39" s="11" t="n">
        <v>633</v>
      </c>
      <c r="BG39" s="11" t="n">
        <v>596</v>
      </c>
      <c r="BH39" s="11" t="n">
        <v>307</v>
      </c>
      <c r="BI39" s="11" t="n">
        <v>74</v>
      </c>
      <c r="BJ39" s="11" t="n">
        <v>715</v>
      </c>
      <c r="BK39" s="11" t="n">
        <v>0</v>
      </c>
      <c r="BL39" s="11" t="n">
        <v>8</v>
      </c>
      <c r="BM39" s="11" t="n">
        <v>0</v>
      </c>
      <c r="BN39" s="11" t="n">
        <v>0</v>
      </c>
      <c r="BO39" s="11" t="n">
        <v>0</v>
      </c>
      <c r="BP39" s="11" t="n">
        <v>444</v>
      </c>
      <c r="BQ39" s="11" t="n">
        <v>2181</v>
      </c>
      <c r="BR39" s="11" t="n">
        <v>3837</v>
      </c>
      <c r="BS39" s="11" t="n">
        <v>48466</v>
      </c>
    </row>
    <row r="40">
      <c r="A40" s="11" t="n">
        <v>2023</v>
      </c>
      <c r="B40" t="inlineStr">
        <is>
          <t>Ouest</t>
        </is>
      </c>
      <c r="C40" t="inlineStr">
        <is>
          <t>Centre-Val de Loire</t>
        </is>
      </c>
      <c r="D40" t="inlineStr">
        <is>
          <t>36</t>
        </is>
      </c>
      <c r="E40" t="inlineStr">
        <is>
          <t>Indre</t>
        </is>
      </c>
      <c r="F40" t="inlineStr">
        <is>
          <t>C</t>
        </is>
      </c>
      <c r="G40" s="11" t="n">
        <v>308</v>
      </c>
      <c r="H40" s="11" t="n">
        <v>189</v>
      </c>
      <c r="I40" s="11" t="n">
        <v>8</v>
      </c>
      <c r="J40" s="11" t="n">
        <v>14</v>
      </c>
      <c r="K40" s="11" t="n">
        <v>21</v>
      </c>
      <c r="L40" s="11" t="n">
        <v>0</v>
      </c>
      <c r="M40" s="11" t="n">
        <v>18</v>
      </c>
      <c r="N40" s="11" t="n">
        <v>128</v>
      </c>
      <c r="O40" s="11" t="n">
        <v>193</v>
      </c>
      <c r="P40" s="11" t="n">
        <v>251</v>
      </c>
      <c r="Q40" s="11" t="n">
        <v>267</v>
      </c>
      <c r="R40" s="11" t="n">
        <v>1208</v>
      </c>
      <c r="S40" s="11" t="n">
        <v>152</v>
      </c>
      <c r="T40" s="11" t="n">
        <v>568</v>
      </c>
      <c r="U40" s="11" t="n">
        <v>169</v>
      </c>
      <c r="V40" s="11" t="n">
        <v>740</v>
      </c>
      <c r="W40" s="11" t="n">
        <v>0</v>
      </c>
      <c r="X40" s="11" t="n">
        <v>94</v>
      </c>
      <c r="Y40" s="11" t="n">
        <v>3709</v>
      </c>
      <c r="Z40" s="11" t="n">
        <v>2341</v>
      </c>
      <c r="AA40" s="11" t="n">
        <v>23</v>
      </c>
      <c r="AB40" s="11" t="n">
        <v>302</v>
      </c>
      <c r="AC40" s="11" t="n">
        <v>256</v>
      </c>
      <c r="AD40" s="11" t="n">
        <v>7</v>
      </c>
      <c r="AE40" s="11" t="n">
        <v>0</v>
      </c>
      <c r="AF40" s="11" t="n">
        <v>12</v>
      </c>
      <c r="AG40" s="11" t="n">
        <v>1</v>
      </c>
      <c r="AH40" s="11" t="n">
        <v>701</v>
      </c>
      <c r="AI40" s="11" t="n">
        <v>9074</v>
      </c>
      <c r="AJ40" s="11" t="n">
        <v>1530</v>
      </c>
      <c r="AK40" s="11" t="n">
        <v>11</v>
      </c>
      <c r="AL40" s="11" t="n">
        <v>1541</v>
      </c>
      <c r="AM40" s="11" t="n">
        <v>10615</v>
      </c>
      <c r="AN40" s="11" t="n">
        <v>1023</v>
      </c>
      <c r="AO40" s="11" t="n">
        <v>1</v>
      </c>
      <c r="AP40" s="11" t="n">
        <v>0</v>
      </c>
      <c r="AQ40" s="11" t="n">
        <v>2</v>
      </c>
      <c r="AR40" s="11" t="n">
        <v>0</v>
      </c>
      <c r="AS40" s="11" t="n">
        <v>1026</v>
      </c>
      <c r="AT40" s="11" t="n">
        <v>90</v>
      </c>
      <c r="AU40" s="11" t="n">
        <v>23</v>
      </c>
      <c r="AV40" s="11" t="n">
        <v>0</v>
      </c>
      <c r="AW40" s="11" t="n">
        <v>11</v>
      </c>
      <c r="AX40" s="11" t="n">
        <v>2</v>
      </c>
      <c r="AY40" s="11" t="n">
        <v>126</v>
      </c>
      <c r="AZ40" s="11" t="n">
        <v>99</v>
      </c>
      <c r="BA40" s="11" t="n">
        <v>137</v>
      </c>
      <c r="BB40" s="11" t="n">
        <v>166</v>
      </c>
      <c r="BC40" s="11" t="n">
        <v>6</v>
      </c>
      <c r="BD40" s="11" t="n">
        <v>0</v>
      </c>
      <c r="BE40" s="11" t="n">
        <v>408</v>
      </c>
      <c r="BF40" s="11" t="n">
        <v>18</v>
      </c>
      <c r="BG40" s="11" t="n">
        <v>0</v>
      </c>
      <c r="BH40" s="11" t="n">
        <v>219</v>
      </c>
      <c r="BI40" s="11" t="n">
        <v>200</v>
      </c>
      <c r="BJ40" s="11" t="n">
        <v>248</v>
      </c>
      <c r="BK40" s="11" t="n">
        <v>0</v>
      </c>
      <c r="BL40" s="11" t="n">
        <v>1</v>
      </c>
      <c r="BM40" s="11" t="n">
        <v>60</v>
      </c>
      <c r="BN40" s="11" t="n">
        <v>0</v>
      </c>
      <c r="BO40" s="11" t="n">
        <v>0</v>
      </c>
      <c r="BP40" s="11" t="n">
        <v>105</v>
      </c>
      <c r="BQ40" s="11" t="n">
        <v>851</v>
      </c>
      <c r="BR40" s="11" t="n">
        <v>1259</v>
      </c>
      <c r="BS40" s="11" t="n">
        <v>14234</v>
      </c>
    </row>
    <row r="41">
      <c r="A41" s="11" t="n">
        <v>2023</v>
      </c>
      <c r="B41" t="inlineStr">
        <is>
          <t>Ouest</t>
        </is>
      </c>
      <c r="C41" t="inlineStr">
        <is>
          <t>Centre-Val de Loire</t>
        </is>
      </c>
      <c r="D41" t="inlineStr">
        <is>
          <t>37</t>
        </is>
      </c>
      <c r="E41" t="inlineStr">
        <is>
          <t>Indre-et-Loire</t>
        </is>
      </c>
      <c r="F41" t="inlineStr">
        <is>
          <t>B</t>
        </is>
      </c>
      <c r="G41" s="11" t="n">
        <v>597</v>
      </c>
      <c r="H41" s="11" t="n">
        <v>209</v>
      </c>
      <c r="I41" s="11" t="n">
        <v>13</v>
      </c>
      <c r="J41" s="11" t="n">
        <v>57</v>
      </c>
      <c r="K41" s="11" t="n">
        <v>67</v>
      </c>
      <c r="L41" s="11" t="n">
        <v>0</v>
      </c>
      <c r="M41" s="11" t="n">
        <v>16</v>
      </c>
      <c r="N41" s="11" t="n">
        <v>611</v>
      </c>
      <c r="O41" s="11" t="n">
        <v>394</v>
      </c>
      <c r="P41" s="11" t="n">
        <v>305</v>
      </c>
      <c r="Q41" s="11" t="n">
        <v>366</v>
      </c>
      <c r="R41" s="11" t="n">
        <v>2426</v>
      </c>
      <c r="S41" s="11" t="n">
        <v>42</v>
      </c>
      <c r="T41" s="11" t="n">
        <v>1950</v>
      </c>
      <c r="U41" s="11" t="n">
        <v>0</v>
      </c>
      <c r="V41" s="11" t="n">
        <v>0</v>
      </c>
      <c r="W41" s="11" t="n">
        <v>0</v>
      </c>
      <c r="X41" s="11" t="n">
        <v>0</v>
      </c>
      <c r="Y41" s="11" t="n">
        <v>2928</v>
      </c>
      <c r="Z41" s="11" t="n">
        <v>2031</v>
      </c>
      <c r="AA41" s="11" t="n">
        <v>0</v>
      </c>
      <c r="AB41" s="11" t="n">
        <v>4869</v>
      </c>
      <c r="AC41" s="11" t="n">
        <v>409</v>
      </c>
      <c r="AD41" s="11" t="n">
        <v>25</v>
      </c>
      <c r="AE41" s="11" t="n">
        <v>0</v>
      </c>
      <c r="AF41" s="11" t="n">
        <v>35</v>
      </c>
      <c r="AG41" s="11" t="n">
        <v>35</v>
      </c>
      <c r="AH41" s="11" t="n">
        <v>10104</v>
      </c>
      <c r="AI41" s="11" t="n">
        <v>22393</v>
      </c>
      <c r="AJ41" s="11" t="n">
        <v>5023</v>
      </c>
      <c r="AK41" s="11" t="n">
        <v>0</v>
      </c>
      <c r="AL41" s="11" t="n">
        <v>5023</v>
      </c>
      <c r="AM41" s="11" t="n">
        <v>27416</v>
      </c>
      <c r="AN41" s="11" t="n">
        <v>2851</v>
      </c>
      <c r="AO41" s="11" t="n">
        <v>8</v>
      </c>
      <c r="AP41" s="11" t="n">
        <v>0</v>
      </c>
      <c r="AQ41" s="11" t="n">
        <v>0</v>
      </c>
      <c r="AR41" s="11" t="n">
        <v>0</v>
      </c>
      <c r="AS41" s="11" t="n">
        <v>2859</v>
      </c>
      <c r="AT41" s="11" t="n">
        <v>108</v>
      </c>
      <c r="AU41" s="11" t="n">
        <v>74</v>
      </c>
      <c r="AV41" s="11" t="n">
        <v>113</v>
      </c>
      <c r="AW41" s="11" t="n">
        <v>12</v>
      </c>
      <c r="AX41" s="11" t="n">
        <v>3</v>
      </c>
      <c r="AY41" s="11" t="n">
        <v>310</v>
      </c>
      <c r="AZ41" s="11" t="n">
        <v>489</v>
      </c>
      <c r="BA41" s="11" t="n">
        <v>8</v>
      </c>
      <c r="BB41" s="11" t="n">
        <v>436</v>
      </c>
      <c r="BC41" s="11" t="n">
        <v>0</v>
      </c>
      <c r="BD41" s="11" t="n">
        <v>8</v>
      </c>
      <c r="BE41" s="11" t="n">
        <v>941</v>
      </c>
      <c r="BF41" s="11" t="n">
        <v>53</v>
      </c>
      <c r="BG41" s="11" t="n">
        <v>53</v>
      </c>
      <c r="BH41" s="11" t="n">
        <v>271</v>
      </c>
      <c r="BI41" s="11" t="n">
        <v>12</v>
      </c>
      <c r="BJ41" s="11" t="n">
        <v>548</v>
      </c>
      <c r="BK41" s="11" t="n">
        <v>0</v>
      </c>
      <c r="BL41" s="11" t="n">
        <v>5</v>
      </c>
      <c r="BM41" s="11" t="n">
        <v>59</v>
      </c>
      <c r="BN41" s="11" t="n">
        <v>26</v>
      </c>
      <c r="BO41" s="11" t="n">
        <v>0</v>
      </c>
      <c r="BP41" s="11" t="n">
        <v>382</v>
      </c>
      <c r="BQ41" s="11" t="n">
        <v>1356</v>
      </c>
      <c r="BR41" s="11" t="n">
        <v>2297</v>
      </c>
      <c r="BS41" s="11" t="n">
        <v>35308</v>
      </c>
    </row>
    <row r="42">
      <c r="A42" s="11" t="n">
        <v>2023</v>
      </c>
      <c r="B42" t="inlineStr">
        <is>
          <t>Sud-est</t>
        </is>
      </c>
      <c r="C42" t="inlineStr">
        <is>
          <t>Auvergne-Rh�ne-Alpes</t>
        </is>
      </c>
      <c r="D42" t="inlineStr">
        <is>
          <t>38</t>
        </is>
      </c>
      <c r="E42" t="inlineStr">
        <is>
          <t>Is�re</t>
        </is>
      </c>
      <c r="F42" t="inlineStr">
        <is>
          <t>A</t>
        </is>
      </c>
      <c r="G42" s="11" t="n">
        <v>1288</v>
      </c>
      <c r="H42" s="11" t="n">
        <v>405</v>
      </c>
      <c r="I42" s="11" t="n">
        <v>5</v>
      </c>
      <c r="J42" s="11" t="n">
        <v>2</v>
      </c>
      <c r="K42" s="11" t="n">
        <v>47</v>
      </c>
      <c r="L42" s="11" t="n">
        <v>2</v>
      </c>
      <c r="M42" s="11" t="n">
        <v>29</v>
      </c>
      <c r="N42" s="11" t="n">
        <v>1734</v>
      </c>
      <c r="O42" s="11" t="n">
        <v>1528</v>
      </c>
      <c r="P42" s="11" t="n">
        <v>568</v>
      </c>
      <c r="Q42" s="11" t="n">
        <v>1150</v>
      </c>
      <c r="R42" s="11" t="n">
        <v>6353</v>
      </c>
      <c r="S42" s="11" t="n">
        <v>898</v>
      </c>
      <c r="T42" s="11" t="n">
        <v>0</v>
      </c>
      <c r="U42" s="11" t="n">
        <v>0</v>
      </c>
      <c r="V42" s="11" t="n">
        <v>0</v>
      </c>
      <c r="W42" s="11" t="n">
        <v>96</v>
      </c>
      <c r="X42" s="11" t="n">
        <v>0</v>
      </c>
      <c r="Y42" s="11" t="n">
        <v>34082</v>
      </c>
      <c r="Z42" s="11" t="n">
        <v>5510</v>
      </c>
      <c r="AA42" s="11" t="n">
        <v>0</v>
      </c>
      <c r="AB42" s="11" t="n">
        <v>12941</v>
      </c>
      <c r="AC42" s="11" t="n">
        <v>0</v>
      </c>
      <c r="AD42" s="11" t="n">
        <v>33</v>
      </c>
      <c r="AE42" s="11" t="n">
        <v>0</v>
      </c>
      <c r="AF42" s="11" t="n">
        <v>73</v>
      </c>
      <c r="AG42" s="11" t="n">
        <v>0</v>
      </c>
      <c r="AH42" s="11" t="n">
        <v>0</v>
      </c>
      <c r="AI42" s="11" t="n">
        <v>53633</v>
      </c>
      <c r="AJ42" s="11" t="n">
        <v>9777</v>
      </c>
      <c r="AK42" s="11" t="n">
        <v>11</v>
      </c>
      <c r="AL42" s="11" t="n">
        <v>9788</v>
      </c>
      <c r="AM42" s="11" t="n">
        <v>63421</v>
      </c>
      <c r="AN42" s="11" t="n">
        <v>5570</v>
      </c>
      <c r="AO42" s="11" t="n">
        <v>10</v>
      </c>
      <c r="AP42" s="11" t="n">
        <v>4</v>
      </c>
      <c r="AQ42" s="11" t="n">
        <v>3</v>
      </c>
      <c r="AR42" s="11" t="n">
        <v>0</v>
      </c>
      <c r="AS42" s="11" t="n">
        <v>5587</v>
      </c>
      <c r="AT42" s="11" t="n">
        <v>1022</v>
      </c>
      <c r="AU42" s="11" t="n">
        <v>0</v>
      </c>
      <c r="AV42" s="11" t="n">
        <v>0</v>
      </c>
      <c r="AW42" s="11" t="n">
        <v>60</v>
      </c>
      <c r="AX42" s="11" t="n">
        <v>14</v>
      </c>
      <c r="AY42" s="11" t="n">
        <v>1096</v>
      </c>
      <c r="AZ42" s="11" t="n">
        <v>749</v>
      </c>
      <c r="BA42" s="11" t="n">
        <v>1317</v>
      </c>
      <c r="BB42" s="11" t="n">
        <v>0</v>
      </c>
      <c r="BC42" s="11" t="n">
        <v>0</v>
      </c>
      <c r="BD42" s="11" t="n">
        <v>0</v>
      </c>
      <c r="BE42" s="11" t="n">
        <v>2066</v>
      </c>
      <c r="BF42" s="11" t="n">
        <v>59</v>
      </c>
      <c r="BG42" s="11" t="n">
        <v>0</v>
      </c>
      <c r="BH42" s="11" t="n">
        <v>518</v>
      </c>
      <c r="BI42" s="11" t="n">
        <v>181</v>
      </c>
      <c r="BJ42" s="11" t="n">
        <v>54</v>
      </c>
      <c r="BK42" s="11" t="n">
        <v>0</v>
      </c>
      <c r="BL42" s="11" t="n">
        <v>114</v>
      </c>
      <c r="BM42" s="11" t="n">
        <v>14</v>
      </c>
      <c r="BN42" s="11" t="n">
        <v>36</v>
      </c>
      <c r="BO42" s="11" t="n">
        <v>4</v>
      </c>
      <c r="BP42" s="11" t="n">
        <v>1144</v>
      </c>
      <c r="BQ42" s="11" t="n">
        <v>2124</v>
      </c>
      <c r="BR42" s="11" t="n">
        <v>4190</v>
      </c>
      <c r="BS42" s="11" t="n">
        <v>80647</v>
      </c>
    </row>
    <row r="43">
      <c r="A43" s="11" t="n">
        <v>2023</v>
      </c>
      <c r="B43" t="inlineStr">
        <is>
          <t>Est</t>
        </is>
      </c>
      <c r="C43" t="inlineStr">
        <is>
          <t>Bourgogne-Franche-Comt�</t>
        </is>
      </c>
      <c r="D43" t="inlineStr">
        <is>
          <t>39</t>
        </is>
      </c>
      <c r="E43" t="inlineStr">
        <is>
          <t>Jura</t>
        </is>
      </c>
      <c r="F43" t="inlineStr">
        <is>
          <t>C</t>
        </is>
      </c>
      <c r="G43" s="11" t="n">
        <v>486</v>
      </c>
      <c r="H43" s="11" t="n">
        <v>250</v>
      </c>
      <c r="I43" s="11" t="n">
        <v>0</v>
      </c>
      <c r="J43" s="11" t="n">
        <v>24</v>
      </c>
      <c r="K43" s="11" t="n">
        <v>45</v>
      </c>
      <c r="L43" s="11" t="n">
        <v>0</v>
      </c>
      <c r="M43" s="11" t="n">
        <v>18</v>
      </c>
      <c r="N43" s="11" t="n">
        <v>130</v>
      </c>
      <c r="O43" s="11" t="n">
        <v>172</v>
      </c>
      <c r="P43" s="11" t="n">
        <v>273</v>
      </c>
      <c r="Q43" s="11" t="n">
        <v>122</v>
      </c>
      <c r="R43" s="11" t="n">
        <v>1270</v>
      </c>
      <c r="S43" s="11" t="n">
        <v>412</v>
      </c>
      <c r="T43" s="11" t="n">
        <v>2183</v>
      </c>
      <c r="U43" s="11" t="n">
        <v>645</v>
      </c>
      <c r="V43" s="11" t="n">
        <v>1428</v>
      </c>
      <c r="W43" s="11" t="n">
        <v>7</v>
      </c>
      <c r="X43" s="11" t="n">
        <v>275</v>
      </c>
      <c r="Y43" s="11" t="n">
        <v>3226</v>
      </c>
      <c r="Z43" s="11" t="n">
        <v>1882</v>
      </c>
      <c r="AA43" s="11" t="n">
        <v>0</v>
      </c>
      <c r="AB43" s="11" t="n">
        <v>1624</v>
      </c>
      <c r="AC43" s="11" t="n">
        <v>225</v>
      </c>
      <c r="AD43" s="11" t="n">
        <v>16</v>
      </c>
      <c r="AE43" s="11" t="n">
        <v>0</v>
      </c>
      <c r="AF43" s="11" t="n">
        <v>29</v>
      </c>
      <c r="AG43" s="11" t="n">
        <v>0</v>
      </c>
      <c r="AH43" s="11" t="n">
        <v>944</v>
      </c>
      <c r="AI43" s="11" t="n">
        <v>12896</v>
      </c>
      <c r="AJ43" s="11" t="n">
        <v>1093</v>
      </c>
      <c r="AK43" s="11" t="n">
        <v>25</v>
      </c>
      <c r="AL43" s="11" t="n">
        <v>1118</v>
      </c>
      <c r="AM43" s="11" t="n">
        <v>14014</v>
      </c>
      <c r="AN43" s="11" t="n">
        <v>1283</v>
      </c>
      <c r="AO43" s="11" t="n">
        <v>1</v>
      </c>
      <c r="AP43" s="11" t="n">
        <v>0</v>
      </c>
      <c r="AQ43" s="11" t="n">
        <v>0</v>
      </c>
      <c r="AR43" s="11" t="n">
        <v>0</v>
      </c>
      <c r="AS43" s="11" t="n">
        <v>1284</v>
      </c>
      <c r="AT43" s="11" t="n">
        <v>82</v>
      </c>
      <c r="AU43" s="11" t="n">
        <v>0</v>
      </c>
      <c r="AV43" s="11" t="n">
        <v>35</v>
      </c>
      <c r="AW43" s="11" t="n">
        <v>12</v>
      </c>
      <c r="AX43" s="11" t="n">
        <v>110</v>
      </c>
      <c r="AY43" s="11" t="n">
        <v>239</v>
      </c>
      <c r="AZ43" s="11" t="n">
        <v>181</v>
      </c>
      <c r="BA43" s="11" t="n">
        <v>239</v>
      </c>
      <c r="BB43" s="11" t="n">
        <v>28</v>
      </c>
      <c r="BC43" s="11" t="n">
        <v>1</v>
      </c>
      <c r="BD43" s="11" t="n">
        <v>0</v>
      </c>
      <c r="BE43" s="11" t="n">
        <v>449</v>
      </c>
      <c r="BF43" s="11" t="n">
        <v>74</v>
      </c>
      <c r="BG43" s="11" t="n">
        <v>0</v>
      </c>
      <c r="BH43" s="11" t="n">
        <v>146</v>
      </c>
      <c r="BI43" s="11" t="n">
        <v>103</v>
      </c>
      <c r="BJ43" s="11" t="n">
        <v>10</v>
      </c>
      <c r="BK43" s="11" t="n">
        <v>1</v>
      </c>
      <c r="BL43" s="11" t="n">
        <v>2</v>
      </c>
      <c r="BM43" s="11" t="n">
        <v>53</v>
      </c>
      <c r="BN43" s="11" t="n">
        <v>0</v>
      </c>
      <c r="BO43" s="11" t="n">
        <v>4</v>
      </c>
      <c r="BP43" s="11" t="n">
        <v>182</v>
      </c>
      <c r="BQ43" s="11" t="n">
        <v>575</v>
      </c>
      <c r="BR43" s="11" t="n">
        <v>1024</v>
      </c>
      <c r="BS43" s="11" t="n">
        <v>17831</v>
      </c>
    </row>
    <row r="44">
      <c r="A44" s="11" t="n">
        <v>2023</v>
      </c>
      <c r="B44" t="inlineStr">
        <is>
          <t>Sud-ouest</t>
        </is>
      </c>
      <c r="C44" t="inlineStr">
        <is>
          <t>Nouvelle-Aquitaine</t>
        </is>
      </c>
      <c r="D44" t="inlineStr">
        <is>
          <t>40</t>
        </is>
      </c>
      <c r="E44" t="inlineStr">
        <is>
          <t>Landes</t>
        </is>
      </c>
      <c r="F44" t="inlineStr">
        <is>
          <t>B</t>
        </is>
      </c>
      <c r="G44" s="11" t="n">
        <v>416</v>
      </c>
      <c r="H44" s="11" t="n">
        <v>159</v>
      </c>
      <c r="I44" s="11" t="n">
        <v>13</v>
      </c>
      <c r="J44" s="11" t="n">
        <v>26</v>
      </c>
      <c r="K44" s="11" t="n">
        <v>31</v>
      </c>
      <c r="L44" s="11" t="n">
        <v>8</v>
      </c>
      <c r="M44" s="11" t="n">
        <v>16</v>
      </c>
      <c r="N44" s="11" t="n">
        <v>262</v>
      </c>
      <c r="O44" s="11" t="n">
        <v>256</v>
      </c>
      <c r="P44" s="11" t="n">
        <v>240</v>
      </c>
      <c r="Q44" s="11" t="n">
        <v>171</v>
      </c>
      <c r="R44" s="11" t="n">
        <v>1439</v>
      </c>
      <c r="S44" s="11" t="n">
        <v>696</v>
      </c>
      <c r="T44" s="11" t="n">
        <v>1197</v>
      </c>
      <c r="U44" s="11" t="n">
        <v>635</v>
      </c>
      <c r="V44" s="11" t="n">
        <v>4567</v>
      </c>
      <c r="W44" s="11" t="n">
        <v>0</v>
      </c>
      <c r="X44" s="11" t="n">
        <v>659</v>
      </c>
      <c r="Y44" s="11" t="n">
        <v>13482</v>
      </c>
      <c r="Z44" s="11" t="n">
        <v>5239</v>
      </c>
      <c r="AA44" s="11" t="n">
        <v>52</v>
      </c>
      <c r="AB44" s="11" t="n">
        <v>3538</v>
      </c>
      <c r="AC44" s="11" t="n">
        <v>1022</v>
      </c>
      <c r="AD44" s="11" t="n">
        <v>21</v>
      </c>
      <c r="AE44" s="11" t="n">
        <v>56</v>
      </c>
      <c r="AF44" s="11" t="n">
        <v>0</v>
      </c>
      <c r="AG44" s="11" t="n">
        <v>0</v>
      </c>
      <c r="AH44" s="11" t="n">
        <v>0</v>
      </c>
      <c r="AI44" s="11" t="n">
        <v>31164</v>
      </c>
      <c r="AJ44" s="11" t="n">
        <v>1642</v>
      </c>
      <c r="AK44" s="11" t="n">
        <v>229</v>
      </c>
      <c r="AL44" s="11" t="n">
        <v>1871</v>
      </c>
      <c r="AM44" s="11" t="n">
        <v>33035</v>
      </c>
      <c r="AN44" s="11" t="n">
        <v>2073</v>
      </c>
      <c r="AO44" s="11" t="n">
        <v>2</v>
      </c>
      <c r="AP44" s="11" t="n">
        <v>3</v>
      </c>
      <c r="AQ44" s="11" t="n">
        <v>2</v>
      </c>
      <c r="AR44" s="11" t="n">
        <v>0</v>
      </c>
      <c r="AS44" s="11" t="n">
        <v>2080</v>
      </c>
      <c r="AT44" s="11" t="n">
        <v>160</v>
      </c>
      <c r="AU44" s="11" t="n">
        <v>61</v>
      </c>
      <c r="AV44" s="11" t="n">
        <v>106</v>
      </c>
      <c r="AW44" s="11" t="n">
        <v>15</v>
      </c>
      <c r="AX44" s="11" t="n">
        <v>2</v>
      </c>
      <c r="AY44" s="11" t="n">
        <v>344</v>
      </c>
      <c r="AZ44" s="11" t="n">
        <v>153</v>
      </c>
      <c r="BA44" s="11" t="n">
        <v>321</v>
      </c>
      <c r="BB44" s="11" t="n">
        <v>83</v>
      </c>
      <c r="BC44" s="11" t="n">
        <v>35</v>
      </c>
      <c r="BD44" s="11" t="n">
        <v>0</v>
      </c>
      <c r="BE44" s="11" t="n">
        <v>592</v>
      </c>
      <c r="BF44" s="11" t="n">
        <v>0</v>
      </c>
      <c r="BG44" s="11" t="n">
        <v>0</v>
      </c>
      <c r="BH44" s="11" t="n">
        <v>237</v>
      </c>
      <c r="BI44" s="11" t="n">
        <v>84</v>
      </c>
      <c r="BJ44" s="11" t="n">
        <v>354</v>
      </c>
      <c r="BK44" s="11" t="n">
        <v>0</v>
      </c>
      <c r="BL44" s="11" t="n">
        <v>1</v>
      </c>
      <c r="BM44" s="11" t="n">
        <v>97</v>
      </c>
      <c r="BN44" s="11" t="n">
        <v>0</v>
      </c>
      <c r="BO44" s="11" t="n">
        <v>1</v>
      </c>
      <c r="BP44" s="11" t="n">
        <v>1140</v>
      </c>
      <c r="BQ44" s="11" t="n">
        <v>1914</v>
      </c>
      <c r="BR44" s="11" t="n">
        <v>2506</v>
      </c>
      <c r="BS44" s="11" t="n">
        <v>39404</v>
      </c>
    </row>
    <row r="45">
      <c r="A45" s="11" t="n">
        <v>2023</v>
      </c>
      <c r="B45" t="inlineStr">
        <is>
          <t>Ouest</t>
        </is>
      </c>
      <c r="C45" t="inlineStr">
        <is>
          <t>Centre-Val de Loire</t>
        </is>
      </c>
      <c r="D45" t="inlineStr">
        <is>
          <t>41</t>
        </is>
      </c>
      <c r="E45" t="inlineStr">
        <is>
          <t>Loir-et-Cher</t>
        </is>
      </c>
      <c r="F45" t="inlineStr">
        <is>
          <t>C</t>
        </is>
      </c>
      <c r="G45" s="11" t="n">
        <v>478</v>
      </c>
      <c r="H45" s="11" t="n">
        <v>235</v>
      </c>
      <c r="I45" s="11" t="n">
        <v>12</v>
      </c>
      <c r="J45" s="11" t="n">
        <v>23</v>
      </c>
      <c r="K45" s="11" t="n">
        <v>36</v>
      </c>
      <c r="L45" s="11" t="n">
        <v>3</v>
      </c>
      <c r="M45" s="11" t="n">
        <v>14</v>
      </c>
      <c r="N45" s="11" t="n">
        <v>124</v>
      </c>
      <c r="O45" s="11" t="n">
        <v>282</v>
      </c>
      <c r="P45" s="11" t="n">
        <v>247</v>
      </c>
      <c r="Q45" s="11" t="n">
        <v>339</v>
      </c>
      <c r="R45" s="11" t="n">
        <v>1558</v>
      </c>
      <c r="S45" s="11" t="n">
        <v>533</v>
      </c>
      <c r="T45" s="11" t="n">
        <v>2559</v>
      </c>
      <c r="U45" s="11" t="n">
        <v>396</v>
      </c>
      <c r="V45" s="11" t="n">
        <v>1574</v>
      </c>
      <c r="W45" s="11" t="n">
        <v>0</v>
      </c>
      <c r="X45" s="11" t="n">
        <v>389</v>
      </c>
      <c r="Y45" s="11" t="n">
        <v>6325</v>
      </c>
      <c r="Z45" s="11" t="n">
        <v>1131</v>
      </c>
      <c r="AA45" s="11" t="n">
        <v>23</v>
      </c>
      <c r="AB45" s="11" t="n">
        <v>2385</v>
      </c>
      <c r="AC45" s="11" t="n">
        <v>547</v>
      </c>
      <c r="AD45" s="11" t="n">
        <v>6</v>
      </c>
      <c r="AE45" s="11" t="n">
        <v>0</v>
      </c>
      <c r="AF45" s="11" t="n">
        <v>8</v>
      </c>
      <c r="AG45" s="11" t="n">
        <v>6</v>
      </c>
      <c r="AH45" s="11" t="n">
        <v>598</v>
      </c>
      <c r="AI45" s="11" t="n">
        <v>16474</v>
      </c>
      <c r="AJ45" s="11" t="n">
        <v>2656</v>
      </c>
      <c r="AK45" s="11" t="n">
        <v>5</v>
      </c>
      <c r="AL45" s="11" t="n">
        <v>2661</v>
      </c>
      <c r="AM45" s="11" t="n">
        <v>19135</v>
      </c>
      <c r="AN45" s="11" t="n">
        <v>1635</v>
      </c>
      <c r="AO45" s="11" t="n">
        <v>1</v>
      </c>
      <c r="AP45" s="11" t="n">
        <v>0</v>
      </c>
      <c r="AQ45" s="11" t="n">
        <v>0</v>
      </c>
      <c r="AR45" s="11" t="n">
        <v>0</v>
      </c>
      <c r="AS45" s="11" t="n">
        <v>1636</v>
      </c>
      <c r="AT45" s="11" t="n">
        <v>139</v>
      </c>
      <c r="AU45" s="11" t="n">
        <v>70</v>
      </c>
      <c r="AV45" s="11" t="n">
        <v>110</v>
      </c>
      <c r="AW45" s="11" t="n">
        <v>14</v>
      </c>
      <c r="AX45" s="11" t="n">
        <v>32</v>
      </c>
      <c r="AY45" s="11" t="n">
        <v>365</v>
      </c>
      <c r="AZ45" s="11" t="n">
        <v>128</v>
      </c>
      <c r="BA45" s="11" t="n">
        <v>107</v>
      </c>
      <c r="BB45" s="11" t="n">
        <v>148</v>
      </c>
      <c r="BC45" s="11" t="n">
        <v>0</v>
      </c>
      <c r="BD45" s="11" t="n">
        <v>5</v>
      </c>
      <c r="BE45" s="11" t="n">
        <v>388</v>
      </c>
      <c r="BF45" s="11" t="n">
        <v>360</v>
      </c>
      <c r="BG45" s="11" t="n">
        <v>0</v>
      </c>
      <c r="BH45" s="11" t="n">
        <v>392</v>
      </c>
      <c r="BI45" s="11" t="n">
        <v>256</v>
      </c>
      <c r="BJ45" s="11" t="n">
        <v>91</v>
      </c>
      <c r="BK45" s="11" t="n">
        <v>0</v>
      </c>
      <c r="BL45" s="11" t="n">
        <v>3</v>
      </c>
      <c r="BM45" s="11" t="n">
        <v>58</v>
      </c>
      <c r="BN45" s="11" t="n">
        <v>12</v>
      </c>
      <c r="BO45" s="11" t="n">
        <v>0</v>
      </c>
      <c r="BP45" s="11" t="n">
        <v>682</v>
      </c>
      <c r="BQ45" s="11" t="n">
        <v>1854</v>
      </c>
      <c r="BR45" s="11" t="n">
        <v>2242</v>
      </c>
      <c r="BS45" s="11" t="n">
        <v>24936</v>
      </c>
    </row>
    <row r="46">
      <c r="A46" s="11" t="n">
        <v>2023</v>
      </c>
      <c r="B46" t="inlineStr">
        <is>
          <t>Sud-est</t>
        </is>
      </c>
      <c r="C46" t="inlineStr">
        <is>
          <t>Auvergne-Rh�ne-Alpes</t>
        </is>
      </c>
      <c r="D46" t="inlineStr">
        <is>
          <t>42</t>
        </is>
      </c>
      <c r="E46" t="inlineStr">
        <is>
          <t>Loire</t>
        </is>
      </c>
      <c r="F46" t="inlineStr">
        <is>
          <t>B</t>
        </is>
      </c>
      <c r="G46" s="11" t="n">
        <v>664</v>
      </c>
      <c r="H46" s="11" t="n">
        <v>206</v>
      </c>
      <c r="I46" s="11" t="n">
        <v>27</v>
      </c>
      <c r="J46" s="11" t="n">
        <v>69</v>
      </c>
      <c r="K46" s="11" t="n">
        <v>56</v>
      </c>
      <c r="L46" s="11" t="n">
        <v>25</v>
      </c>
      <c r="M46" s="11" t="n">
        <v>27</v>
      </c>
      <c r="N46" s="11" t="n">
        <v>823</v>
      </c>
      <c r="O46" s="11" t="n">
        <v>886</v>
      </c>
      <c r="P46" s="11" t="n">
        <v>446</v>
      </c>
      <c r="Q46" s="11" t="n">
        <v>184</v>
      </c>
      <c r="R46" s="11" t="n">
        <v>3207</v>
      </c>
      <c r="S46" s="11" t="n">
        <v>1160</v>
      </c>
      <c r="T46" s="11" t="n">
        <v>6366</v>
      </c>
      <c r="U46" s="11" t="n">
        <v>1305</v>
      </c>
      <c r="V46" s="11" t="n">
        <v>4261</v>
      </c>
      <c r="W46" s="11" t="n">
        <v>0</v>
      </c>
      <c r="X46" s="11" t="n">
        <v>789</v>
      </c>
      <c r="Y46" s="11" t="n">
        <v>11504</v>
      </c>
      <c r="Z46" s="11" t="n">
        <v>983</v>
      </c>
      <c r="AA46" s="11" t="n">
        <v>1127</v>
      </c>
      <c r="AB46" s="11" t="n">
        <v>4258</v>
      </c>
      <c r="AC46" s="11" t="n">
        <v>2444</v>
      </c>
      <c r="AD46" s="11" t="n">
        <v>20</v>
      </c>
      <c r="AE46" s="11" t="n">
        <v>0</v>
      </c>
      <c r="AF46" s="11" t="n">
        <v>235</v>
      </c>
      <c r="AG46" s="11" t="n">
        <v>41</v>
      </c>
      <c r="AH46" s="11" t="n">
        <v>2289</v>
      </c>
      <c r="AI46" s="11" t="n">
        <v>36741</v>
      </c>
      <c r="AJ46" s="11" t="n">
        <v>3533</v>
      </c>
      <c r="AK46" s="11" t="n">
        <v>372</v>
      </c>
      <c r="AL46" s="11" t="n">
        <v>3905</v>
      </c>
      <c r="AM46" s="11" t="n">
        <v>40646</v>
      </c>
      <c r="AN46" s="11" t="n">
        <v>2866</v>
      </c>
      <c r="AO46" s="11" t="n">
        <v>8</v>
      </c>
      <c r="AP46" s="11" t="n">
        <v>1</v>
      </c>
      <c r="AQ46" s="11" t="n">
        <v>0</v>
      </c>
      <c r="AR46" s="11" t="n">
        <v>0</v>
      </c>
      <c r="AS46" s="11" t="n">
        <v>2875</v>
      </c>
      <c r="AT46" s="11" t="n">
        <v>276</v>
      </c>
      <c r="AU46" s="11" t="n">
        <v>354</v>
      </c>
      <c r="AV46" s="11" t="n">
        <v>0</v>
      </c>
      <c r="AW46" s="11" t="n">
        <v>35</v>
      </c>
      <c r="AX46" s="11" t="n">
        <v>50</v>
      </c>
      <c r="AY46" s="11" t="n">
        <v>715</v>
      </c>
      <c r="AZ46" s="11" t="n">
        <v>0</v>
      </c>
      <c r="BA46" s="11" t="n">
        <v>783</v>
      </c>
      <c r="BB46" s="11" t="n">
        <v>184</v>
      </c>
      <c r="BC46" s="11" t="n">
        <v>0</v>
      </c>
      <c r="BD46" s="11" t="n">
        <v>0</v>
      </c>
      <c r="BE46" s="11" t="n">
        <v>967</v>
      </c>
      <c r="BF46" s="11" t="n">
        <v>308</v>
      </c>
      <c r="BG46" s="11" t="n">
        <v>108</v>
      </c>
      <c r="BH46" s="11" t="n">
        <v>572</v>
      </c>
      <c r="BI46" s="11" t="n">
        <v>469</v>
      </c>
      <c r="BJ46" s="11" t="n">
        <v>15</v>
      </c>
      <c r="BK46" s="11" t="n">
        <v>1</v>
      </c>
      <c r="BL46" s="11" t="n">
        <v>17</v>
      </c>
      <c r="BM46" s="11" t="n">
        <v>87</v>
      </c>
      <c r="BN46" s="11" t="n">
        <v>0</v>
      </c>
      <c r="BO46" s="11" t="n">
        <v>0</v>
      </c>
      <c r="BP46" s="11" t="n">
        <v>264</v>
      </c>
      <c r="BQ46" s="11" t="n">
        <v>1733</v>
      </c>
      <c r="BR46" s="11" t="n">
        <v>2700</v>
      </c>
      <c r="BS46" s="11" t="n">
        <v>50143</v>
      </c>
    </row>
    <row r="47">
      <c r="A47" s="11" t="n">
        <v>2023</v>
      </c>
      <c r="B47" t="inlineStr">
        <is>
          <t>Sud-est</t>
        </is>
      </c>
      <c r="C47" t="inlineStr">
        <is>
          <t>Auvergne-Rh�ne-Alpes</t>
        </is>
      </c>
      <c r="D47" t="inlineStr">
        <is>
          <t>43</t>
        </is>
      </c>
      <c r="E47" t="inlineStr">
        <is>
          <t>Haute-Loire</t>
        </is>
      </c>
      <c r="F47" t="inlineStr">
        <is>
          <t>C</t>
        </is>
      </c>
      <c r="G47" s="11" t="n">
        <v>240</v>
      </c>
      <c r="H47" s="11" t="n">
        <v>157</v>
      </c>
      <c r="I47" s="11" t="n">
        <v>0</v>
      </c>
      <c r="J47" s="11" t="n">
        <v>6</v>
      </c>
      <c r="K47" s="11" t="n">
        <v>14</v>
      </c>
      <c r="L47" s="11" t="n">
        <v>0</v>
      </c>
      <c r="M47" s="11" t="n">
        <v>11</v>
      </c>
      <c r="N47" s="11" t="n">
        <v>38</v>
      </c>
      <c r="O47" s="11" t="n">
        <v>110</v>
      </c>
      <c r="P47" s="11" t="n">
        <v>291</v>
      </c>
      <c r="Q47" s="11" t="n">
        <v>126</v>
      </c>
      <c r="R47" s="11" t="n">
        <v>836</v>
      </c>
      <c r="S47" s="11" t="n">
        <v>0</v>
      </c>
      <c r="T47" s="11" t="n">
        <v>6617</v>
      </c>
      <c r="U47" s="11" t="n">
        <v>0</v>
      </c>
      <c r="V47" s="11" t="n">
        <v>2068</v>
      </c>
      <c r="W47" s="11" t="n">
        <v>48</v>
      </c>
      <c r="X47" s="11" t="n">
        <v>0</v>
      </c>
      <c r="Y47" s="11" t="n">
        <v>2067</v>
      </c>
      <c r="Z47" s="11" t="n">
        <v>30</v>
      </c>
      <c r="AA47" s="11" t="n">
        <v>0</v>
      </c>
      <c r="AB47" s="11" t="n">
        <v>0</v>
      </c>
      <c r="AC47" s="11" t="n">
        <v>0</v>
      </c>
      <c r="AD47" s="11" t="n">
        <v>7</v>
      </c>
      <c r="AE47" s="11" t="n">
        <v>0</v>
      </c>
      <c r="AF47" s="11" t="n">
        <v>7</v>
      </c>
      <c r="AG47" s="11" t="n">
        <v>0</v>
      </c>
      <c r="AH47" s="11" t="n">
        <v>821</v>
      </c>
      <c r="AI47" s="11" t="n">
        <v>11665</v>
      </c>
      <c r="AJ47" s="11" t="n">
        <v>416</v>
      </c>
      <c r="AK47" s="11" t="n">
        <v>0</v>
      </c>
      <c r="AL47" s="11" t="n">
        <v>416</v>
      </c>
      <c r="AM47" s="11" t="n">
        <v>12081</v>
      </c>
      <c r="AN47" s="11" t="n">
        <v>928</v>
      </c>
      <c r="AO47" s="11" t="n">
        <v>0</v>
      </c>
      <c r="AP47" s="11" t="n">
        <v>0</v>
      </c>
      <c r="AQ47" s="11" t="n">
        <v>0</v>
      </c>
      <c r="AR47" s="11" t="n">
        <v>0</v>
      </c>
      <c r="AS47" s="11" t="n">
        <v>928</v>
      </c>
      <c r="AT47" s="11" t="n">
        <v>55</v>
      </c>
      <c r="AU47" s="11" t="n">
        <v>74</v>
      </c>
      <c r="AV47" s="11" t="n">
        <v>0</v>
      </c>
      <c r="AW47" s="11" t="n">
        <v>24</v>
      </c>
      <c r="AX47" s="11" t="n">
        <v>0</v>
      </c>
      <c r="AY47" s="11" t="n">
        <v>153</v>
      </c>
      <c r="AZ47" s="11" t="n">
        <v>156</v>
      </c>
      <c r="BA47" s="11" t="n">
        <v>0</v>
      </c>
      <c r="BB47" s="11" t="n">
        <v>0</v>
      </c>
      <c r="BC47" s="11" t="n">
        <v>66</v>
      </c>
      <c r="BD47" s="11" t="n">
        <v>0</v>
      </c>
      <c r="BE47" s="11" t="n">
        <v>222</v>
      </c>
      <c r="BF47" s="11" t="n">
        <v>0</v>
      </c>
      <c r="BG47" s="11" t="n">
        <v>0</v>
      </c>
      <c r="BH47" s="11" t="n">
        <v>117</v>
      </c>
      <c r="BI47" s="11" t="n">
        <v>45</v>
      </c>
      <c r="BJ47" s="11" t="n">
        <v>9</v>
      </c>
      <c r="BK47" s="11" t="n">
        <v>1</v>
      </c>
      <c r="BL47" s="11" t="n">
        <v>1</v>
      </c>
      <c r="BM47" s="11" t="n">
        <v>30</v>
      </c>
      <c r="BN47" s="11" t="n">
        <v>55</v>
      </c>
      <c r="BO47" s="11" t="n">
        <v>3</v>
      </c>
      <c r="BP47" s="11" t="n">
        <v>276</v>
      </c>
      <c r="BQ47" s="11" t="n">
        <v>537</v>
      </c>
      <c r="BR47" s="11" t="n">
        <v>759</v>
      </c>
      <c r="BS47" s="11" t="n">
        <v>14757</v>
      </c>
    </row>
    <row r="48">
      <c r="A48" s="11" t="n">
        <v>2023</v>
      </c>
      <c r="B48" t="inlineStr">
        <is>
          <t>Ouest</t>
        </is>
      </c>
      <c r="C48" t="inlineStr">
        <is>
          <t>Pays de la Loire</t>
        </is>
      </c>
      <c r="D48" t="inlineStr">
        <is>
          <t>44</t>
        </is>
      </c>
      <c r="E48" t="inlineStr">
        <is>
          <t>Loire-Atlantique</t>
        </is>
      </c>
      <c r="F48" t="inlineStr">
        <is>
          <t>A</t>
        </is>
      </c>
      <c r="G48" s="11" t="n">
        <v>981</v>
      </c>
      <c r="H48" s="11" t="n">
        <v>342</v>
      </c>
      <c r="I48" s="11" t="n">
        <v>46</v>
      </c>
      <c r="J48" s="11" t="n">
        <v>92</v>
      </c>
      <c r="K48" s="11" t="n">
        <v>104</v>
      </c>
      <c r="L48" s="11" t="n">
        <v>13</v>
      </c>
      <c r="M48" s="11" t="n">
        <v>49</v>
      </c>
      <c r="N48" s="11" t="n">
        <v>1221</v>
      </c>
      <c r="O48" s="11" t="n">
        <v>1251</v>
      </c>
      <c r="P48" s="11" t="n">
        <v>698</v>
      </c>
      <c r="Q48" s="11" t="n">
        <v>1274</v>
      </c>
      <c r="R48" s="11" t="n">
        <v>5729</v>
      </c>
      <c r="S48" s="11" t="n">
        <v>1554</v>
      </c>
      <c r="T48" s="11" t="n">
        <v>7510</v>
      </c>
      <c r="U48" s="11" t="n">
        <v>1692</v>
      </c>
      <c r="V48" s="11" t="n">
        <v>7146</v>
      </c>
      <c r="W48" s="11" t="n">
        <v>0</v>
      </c>
      <c r="X48" s="11" t="n">
        <v>1602</v>
      </c>
      <c r="Y48" s="11" t="n">
        <v>13325</v>
      </c>
      <c r="Z48" s="11" t="n">
        <v>1995</v>
      </c>
      <c r="AA48" s="11" t="n">
        <v>0</v>
      </c>
      <c r="AB48" s="11" t="n">
        <v>9495</v>
      </c>
      <c r="AC48" s="11" t="n">
        <v>1632</v>
      </c>
      <c r="AD48" s="11" t="n">
        <v>50</v>
      </c>
      <c r="AE48" s="11" t="n">
        <v>28</v>
      </c>
      <c r="AF48" s="11" t="n">
        <v>297</v>
      </c>
      <c r="AG48" s="11" t="n">
        <v>79</v>
      </c>
      <c r="AH48" s="11" t="n">
        <v>2049</v>
      </c>
      <c r="AI48" s="11" t="n">
        <v>48375</v>
      </c>
      <c r="AJ48" s="11" t="n">
        <v>7852</v>
      </c>
      <c r="AK48" s="11" t="n">
        <v>360</v>
      </c>
      <c r="AL48" s="11" t="n">
        <v>8212</v>
      </c>
      <c r="AM48" s="11" t="n">
        <v>56587</v>
      </c>
      <c r="AN48" s="11" t="n">
        <v>6554</v>
      </c>
      <c r="AO48" s="11" t="n">
        <v>11</v>
      </c>
      <c r="AP48" s="11" t="n">
        <v>4</v>
      </c>
      <c r="AQ48" s="11" t="n">
        <v>44</v>
      </c>
      <c r="AR48" s="11" t="n">
        <v>0</v>
      </c>
      <c r="AS48" s="11" t="n">
        <v>6613</v>
      </c>
      <c r="AT48" s="11" t="n">
        <v>334</v>
      </c>
      <c r="AU48" s="11" t="n">
        <v>64</v>
      </c>
      <c r="AV48" s="11" t="n">
        <v>103</v>
      </c>
      <c r="AW48" s="11" t="n">
        <v>56</v>
      </c>
      <c r="AX48" s="11" t="n">
        <v>0</v>
      </c>
      <c r="AY48" s="11" t="n">
        <v>557</v>
      </c>
      <c r="AZ48" s="11" t="n">
        <v>429</v>
      </c>
      <c r="BA48" s="11" t="n">
        <v>868</v>
      </c>
      <c r="BB48" s="11" t="n">
        <v>141</v>
      </c>
      <c r="BC48" s="11" t="n">
        <v>35</v>
      </c>
      <c r="BD48" s="11" t="n">
        <v>6</v>
      </c>
      <c r="BE48" s="11" t="n">
        <v>1479</v>
      </c>
      <c r="BF48" s="11" t="n">
        <v>1640</v>
      </c>
      <c r="BG48" s="11" t="n">
        <v>365</v>
      </c>
      <c r="BH48" s="11" t="n">
        <v>969</v>
      </c>
      <c r="BI48" s="11" t="n">
        <v>16</v>
      </c>
      <c r="BJ48" s="11" t="n">
        <v>144</v>
      </c>
      <c r="BK48" s="11" t="n">
        <v>5</v>
      </c>
      <c r="BL48" s="11" t="n">
        <v>26</v>
      </c>
      <c r="BM48" s="11" t="n">
        <v>170</v>
      </c>
      <c r="BN48" s="11" t="n">
        <v>0</v>
      </c>
      <c r="BO48" s="11" t="n">
        <v>0</v>
      </c>
      <c r="BP48" s="11" t="n">
        <v>1657</v>
      </c>
      <c r="BQ48" s="11" t="n">
        <v>4627</v>
      </c>
      <c r="BR48" s="11" t="n">
        <v>6106</v>
      </c>
      <c r="BS48" s="11" t="n">
        <v>75592</v>
      </c>
    </row>
    <row r="49">
      <c r="A49" s="11" t="n">
        <v>2023</v>
      </c>
      <c r="B49" t="inlineStr">
        <is>
          <t>Ouest</t>
        </is>
      </c>
      <c r="C49" t="inlineStr">
        <is>
          <t>Centre-Val de Loire</t>
        </is>
      </c>
      <c r="D49" t="inlineStr">
        <is>
          <t>45</t>
        </is>
      </c>
      <c r="E49" t="inlineStr">
        <is>
          <t>Loiret</t>
        </is>
      </c>
      <c r="F49" t="inlineStr">
        <is>
          <t>B</t>
        </is>
      </c>
      <c r="G49" s="11" t="n">
        <v>810</v>
      </c>
      <c r="H49" s="11" t="n">
        <v>332</v>
      </c>
      <c r="I49" s="11" t="n">
        <v>6</v>
      </c>
      <c r="J49" s="11" t="n">
        <v>115</v>
      </c>
      <c r="K49" s="11" t="n">
        <v>79</v>
      </c>
      <c r="L49" s="11" t="n">
        <v>20</v>
      </c>
      <c r="M49" s="11" t="n">
        <v>17</v>
      </c>
      <c r="N49" s="11" t="n">
        <v>346</v>
      </c>
      <c r="O49" s="11" t="n">
        <v>454</v>
      </c>
      <c r="P49" s="11" t="n">
        <v>507</v>
      </c>
      <c r="Q49" s="11" t="n">
        <v>325</v>
      </c>
      <c r="R49" s="11" t="n">
        <v>2679</v>
      </c>
      <c r="S49" s="11" t="n">
        <v>391</v>
      </c>
      <c r="T49" s="11" t="n">
        <v>3586</v>
      </c>
      <c r="U49" s="11" t="n">
        <v>849</v>
      </c>
      <c r="V49" s="11" t="n">
        <v>3195</v>
      </c>
      <c r="W49" s="11" t="n">
        <v>0</v>
      </c>
      <c r="X49" s="11" t="n">
        <v>167</v>
      </c>
      <c r="Y49" s="11" t="n">
        <v>6788</v>
      </c>
      <c r="Z49" s="11" t="n">
        <v>4192</v>
      </c>
      <c r="AA49" s="11" t="n">
        <v>75</v>
      </c>
      <c r="AB49" s="11" t="n">
        <v>4336</v>
      </c>
      <c r="AC49" s="11" t="n">
        <v>661</v>
      </c>
      <c r="AD49" s="11" t="n">
        <v>39</v>
      </c>
      <c r="AE49" s="11" t="n">
        <v>0</v>
      </c>
      <c r="AF49" s="11" t="n">
        <v>338</v>
      </c>
      <c r="AG49" s="11" t="n">
        <v>38</v>
      </c>
      <c r="AH49" s="11" t="n">
        <v>1964</v>
      </c>
      <c r="AI49" s="11" t="n">
        <v>26581</v>
      </c>
      <c r="AJ49" s="11" t="n">
        <v>5917</v>
      </c>
      <c r="AK49" s="11" t="n">
        <v>8</v>
      </c>
      <c r="AL49" s="11" t="n">
        <v>5925</v>
      </c>
      <c r="AM49" s="11" t="n">
        <v>32506</v>
      </c>
      <c r="AN49" s="11" t="n">
        <v>2685</v>
      </c>
      <c r="AO49" s="11" t="n">
        <v>12</v>
      </c>
      <c r="AP49" s="11" t="n">
        <v>4</v>
      </c>
      <c r="AQ49" s="11" t="n">
        <v>0</v>
      </c>
      <c r="AR49" s="11" t="n">
        <v>0</v>
      </c>
      <c r="AS49" s="11" t="n">
        <v>2701</v>
      </c>
      <c r="AT49" s="11" t="n">
        <v>238</v>
      </c>
      <c r="AU49" s="11" t="n">
        <v>112</v>
      </c>
      <c r="AV49" s="11" t="n">
        <v>16</v>
      </c>
      <c r="AW49" s="11" t="n">
        <v>4</v>
      </c>
      <c r="AX49" s="11" t="n">
        <v>59</v>
      </c>
      <c r="AY49" s="11" t="n">
        <v>429</v>
      </c>
      <c r="AZ49" s="11" t="n">
        <v>263</v>
      </c>
      <c r="BA49" s="11" t="n">
        <v>296</v>
      </c>
      <c r="BB49" s="11" t="n">
        <v>72</v>
      </c>
      <c r="BC49" s="11" t="n">
        <v>0</v>
      </c>
      <c r="BD49" s="11" t="n">
        <v>0</v>
      </c>
      <c r="BE49" s="11" t="n">
        <v>631</v>
      </c>
      <c r="BF49" s="11" t="n">
        <v>0</v>
      </c>
      <c r="BG49" s="11" t="n">
        <v>0</v>
      </c>
      <c r="BH49" s="11" t="n">
        <v>382</v>
      </c>
      <c r="BI49" s="11" t="n">
        <v>358</v>
      </c>
      <c r="BJ49" s="11" t="n">
        <v>801</v>
      </c>
      <c r="BK49" s="11" t="n">
        <v>0</v>
      </c>
      <c r="BL49" s="11" t="n">
        <v>9</v>
      </c>
      <c r="BM49" s="11" t="n">
        <v>82</v>
      </c>
      <c r="BN49" s="11" t="n">
        <v>0</v>
      </c>
      <c r="BO49" s="11" t="n">
        <v>0</v>
      </c>
      <c r="BP49" s="11" t="n">
        <v>341</v>
      </c>
      <c r="BQ49" s="11" t="n">
        <v>1973</v>
      </c>
      <c r="BR49" s="11" t="n">
        <v>2604</v>
      </c>
      <c r="BS49" s="11" t="n">
        <v>40919</v>
      </c>
    </row>
    <row r="50">
      <c r="A50" s="11" t="n">
        <v>2023</v>
      </c>
      <c r="B50" t="inlineStr">
        <is>
          <t>Sud</t>
        </is>
      </c>
      <c r="C50" t="inlineStr">
        <is>
          <t>Occitanie</t>
        </is>
      </c>
      <c r="D50" t="inlineStr">
        <is>
          <t>46</t>
        </is>
      </c>
      <c r="E50" t="inlineStr">
        <is>
          <t>Lot</t>
        </is>
      </c>
      <c r="F50" t="inlineStr">
        <is>
          <t>C</t>
        </is>
      </c>
      <c r="G50" s="11" t="n">
        <v>245</v>
      </c>
      <c r="H50" s="11" t="n">
        <v>147</v>
      </c>
      <c r="I50" s="11" t="n">
        <v>5</v>
      </c>
      <c r="J50" s="11" t="n">
        <v>6</v>
      </c>
      <c r="K50" s="11" t="n">
        <v>4</v>
      </c>
      <c r="L50" s="11" t="n">
        <v>2</v>
      </c>
      <c r="M50" s="11" t="n">
        <v>17</v>
      </c>
      <c r="N50" s="11" t="n">
        <v>100</v>
      </c>
      <c r="O50" s="11" t="n">
        <v>89</v>
      </c>
      <c r="P50" s="11" t="n">
        <v>126</v>
      </c>
      <c r="Q50" s="11" t="n">
        <v>34</v>
      </c>
      <c r="R50" s="11" t="n">
        <v>628</v>
      </c>
      <c r="S50" s="11" t="n">
        <v>207</v>
      </c>
      <c r="T50" s="11" t="n">
        <v>675</v>
      </c>
      <c r="U50" s="11" t="n">
        <v>369</v>
      </c>
      <c r="V50" s="11" t="n">
        <v>345</v>
      </c>
      <c r="W50" s="11" t="n">
        <v>0</v>
      </c>
      <c r="X50" s="11" t="n">
        <v>214</v>
      </c>
      <c r="Y50" s="11" t="n">
        <v>287</v>
      </c>
      <c r="Z50" s="11" t="n">
        <v>2112</v>
      </c>
      <c r="AA50" s="11" t="n">
        <v>0</v>
      </c>
      <c r="AB50" s="11" t="n">
        <v>973</v>
      </c>
      <c r="AC50" s="11" t="n">
        <v>156</v>
      </c>
      <c r="AD50" s="11" t="n">
        <v>7</v>
      </c>
      <c r="AE50" s="11" t="n">
        <v>0</v>
      </c>
      <c r="AF50" s="11" t="n">
        <v>28</v>
      </c>
      <c r="AG50" s="11" t="n">
        <v>0</v>
      </c>
      <c r="AH50" s="11" t="n">
        <v>2710</v>
      </c>
      <c r="AI50" s="11" t="n">
        <v>8083</v>
      </c>
      <c r="AJ50" s="11" t="n">
        <v>538</v>
      </c>
      <c r="AK50" s="11" t="n">
        <v>7</v>
      </c>
      <c r="AL50" s="11" t="n">
        <v>545</v>
      </c>
      <c r="AM50" s="11" t="n">
        <v>8628</v>
      </c>
      <c r="AN50" s="11" t="n">
        <v>767</v>
      </c>
      <c r="AO50" s="11" t="n">
        <v>4</v>
      </c>
      <c r="AP50" s="11" t="n">
        <v>0</v>
      </c>
      <c r="AQ50" s="11" t="n">
        <v>4</v>
      </c>
      <c r="AR50" s="11" t="n">
        <v>0</v>
      </c>
      <c r="AS50" s="11" t="n">
        <v>775</v>
      </c>
      <c r="AT50" s="11" t="n">
        <v>53</v>
      </c>
      <c r="AU50" s="11" t="n">
        <v>5</v>
      </c>
      <c r="AV50" s="11" t="n">
        <v>23</v>
      </c>
      <c r="AW50" s="11" t="n">
        <v>3</v>
      </c>
      <c r="AX50" s="11" t="n">
        <v>0</v>
      </c>
      <c r="AY50" s="11" t="n">
        <v>84</v>
      </c>
      <c r="AZ50" s="11" t="n">
        <v>95</v>
      </c>
      <c r="BA50" s="11" t="n">
        <v>39</v>
      </c>
      <c r="BB50" s="11" t="n">
        <v>0</v>
      </c>
      <c r="BC50" s="11" t="n">
        <v>53</v>
      </c>
      <c r="BD50" s="11" t="n">
        <v>0</v>
      </c>
      <c r="BE50" s="11" t="n">
        <v>187</v>
      </c>
      <c r="BF50" s="11" t="n">
        <v>319</v>
      </c>
      <c r="BG50" s="11" t="n">
        <v>0</v>
      </c>
      <c r="BH50" s="11" t="n">
        <v>67</v>
      </c>
      <c r="BI50" s="11" t="n">
        <v>57</v>
      </c>
      <c r="BJ50" s="11" t="n">
        <v>21</v>
      </c>
      <c r="BK50" s="11" t="n">
        <v>0</v>
      </c>
      <c r="BL50" s="11" t="n">
        <v>0</v>
      </c>
      <c r="BM50" s="11" t="n">
        <v>10</v>
      </c>
      <c r="BN50" s="11" t="n">
        <v>1</v>
      </c>
      <c r="BO50" s="11" t="n">
        <v>0</v>
      </c>
      <c r="BP50" s="11" t="n">
        <v>31</v>
      </c>
      <c r="BQ50" s="11" t="n">
        <v>506</v>
      </c>
      <c r="BR50" s="11" t="n">
        <v>693</v>
      </c>
      <c r="BS50" s="11" t="n">
        <v>10808</v>
      </c>
    </row>
    <row r="51">
      <c r="A51" s="11" t="n">
        <v>2023</v>
      </c>
      <c r="B51" t="inlineStr">
        <is>
          <t>Sud-ouest</t>
        </is>
      </c>
      <c r="C51" t="inlineStr">
        <is>
          <t>Nouvelle-Aquitaine</t>
        </is>
      </c>
      <c r="D51" t="inlineStr">
        <is>
          <t>47</t>
        </is>
      </c>
      <c r="E51" t="inlineStr">
        <is>
          <t>Lot-et-Garonne</t>
        </is>
      </c>
      <c r="F51" t="inlineStr">
        <is>
          <t>C</t>
        </is>
      </c>
      <c r="G51" s="11" t="n">
        <v>405</v>
      </c>
      <c r="H51" s="11" t="n">
        <v>168</v>
      </c>
      <c r="I51" s="11" t="n">
        <v>5</v>
      </c>
      <c r="J51" s="11" t="n">
        <v>9</v>
      </c>
      <c r="K51" s="11" t="n">
        <v>26</v>
      </c>
      <c r="L51" s="11" t="n">
        <v>0</v>
      </c>
      <c r="M51" s="11" t="n">
        <v>27</v>
      </c>
      <c r="N51" s="11" t="n">
        <v>104</v>
      </c>
      <c r="O51" s="11" t="n">
        <v>214</v>
      </c>
      <c r="P51" s="11" t="n">
        <v>334</v>
      </c>
      <c r="Q51" s="11" t="n">
        <v>261</v>
      </c>
      <c r="R51" s="11" t="n">
        <v>1385</v>
      </c>
      <c r="S51" s="11" t="n">
        <v>357</v>
      </c>
      <c r="T51" s="11" t="n">
        <v>3446</v>
      </c>
      <c r="U51" s="11" t="n">
        <v>341</v>
      </c>
      <c r="V51" s="11" t="n">
        <v>1771</v>
      </c>
      <c r="W51" s="11" t="n">
        <v>0</v>
      </c>
      <c r="X51" s="11" t="n">
        <v>445</v>
      </c>
      <c r="Y51" s="11" t="n">
        <v>2839</v>
      </c>
      <c r="Z51" s="11" t="n">
        <v>4558</v>
      </c>
      <c r="AA51" s="11" t="n">
        <v>9</v>
      </c>
      <c r="AB51" s="11" t="n">
        <v>3239</v>
      </c>
      <c r="AC51" s="11" t="n">
        <v>564</v>
      </c>
      <c r="AD51" s="11" t="n">
        <v>16</v>
      </c>
      <c r="AE51" s="11" t="n">
        <v>0</v>
      </c>
      <c r="AF51" s="11" t="n">
        <v>258</v>
      </c>
      <c r="AG51" s="11" t="n">
        <v>15</v>
      </c>
      <c r="AH51" s="11" t="n">
        <v>823</v>
      </c>
      <c r="AI51" s="11" t="n">
        <v>18666</v>
      </c>
      <c r="AJ51" s="11" t="n">
        <v>1445</v>
      </c>
      <c r="AK51" s="11" t="n">
        <v>15</v>
      </c>
      <c r="AL51" s="11" t="n">
        <v>1460</v>
      </c>
      <c r="AM51" s="11" t="n">
        <v>20126</v>
      </c>
      <c r="AN51" s="11" t="n">
        <v>1628</v>
      </c>
      <c r="AO51" s="11" t="n">
        <v>3</v>
      </c>
      <c r="AP51" s="11" t="n">
        <v>5</v>
      </c>
      <c r="AQ51" s="11" t="n">
        <v>0</v>
      </c>
      <c r="AR51" s="11" t="n">
        <v>0</v>
      </c>
      <c r="AS51" s="11" t="n">
        <v>1636</v>
      </c>
      <c r="AT51" s="11" t="n">
        <v>99</v>
      </c>
      <c r="AU51" s="11" t="n">
        <v>118</v>
      </c>
      <c r="AV51" s="11" t="n">
        <v>94</v>
      </c>
      <c r="AW51" s="11" t="n">
        <v>3</v>
      </c>
      <c r="AX51" s="11" t="n">
        <v>0</v>
      </c>
      <c r="AY51" s="11" t="n">
        <v>314</v>
      </c>
      <c r="AZ51" s="11" t="n">
        <v>96</v>
      </c>
      <c r="BA51" s="11" t="n">
        <v>157</v>
      </c>
      <c r="BB51" s="11" t="n">
        <v>48</v>
      </c>
      <c r="BC51" s="11" t="n">
        <v>2</v>
      </c>
      <c r="BD51" s="11" t="n">
        <v>0</v>
      </c>
      <c r="BE51" s="11" t="n">
        <v>303</v>
      </c>
      <c r="BF51" s="11" t="n">
        <v>111</v>
      </c>
      <c r="BG51" s="11" t="n">
        <v>111</v>
      </c>
      <c r="BH51" s="11" t="n">
        <v>314</v>
      </c>
      <c r="BI51" s="11" t="n">
        <v>166</v>
      </c>
      <c r="BJ51" s="11" t="n">
        <v>147</v>
      </c>
      <c r="BK51" s="11" t="n">
        <v>0</v>
      </c>
      <c r="BL51" s="11" t="n">
        <v>4</v>
      </c>
      <c r="BM51" s="11" t="n">
        <v>0</v>
      </c>
      <c r="BN51" s="11" t="n">
        <v>43</v>
      </c>
      <c r="BO51" s="11" t="n">
        <v>0</v>
      </c>
      <c r="BP51" s="11" t="n">
        <v>2054</v>
      </c>
      <c r="BQ51" s="11" t="n">
        <v>2839</v>
      </c>
      <c r="BR51" s="11" t="n">
        <v>3142</v>
      </c>
      <c r="BS51" s="11" t="n">
        <v>26603</v>
      </c>
    </row>
    <row r="52">
      <c r="A52" s="11" t="n">
        <v>2023</v>
      </c>
      <c r="B52" t="inlineStr">
        <is>
          <t>Sud</t>
        </is>
      </c>
      <c r="C52" t="inlineStr">
        <is>
          <t>Occitanie</t>
        </is>
      </c>
      <c r="D52" t="inlineStr">
        <is>
          <t>48</t>
        </is>
      </c>
      <c r="E52" t="inlineStr">
        <is>
          <t>Loz�re</t>
        </is>
      </c>
      <c r="F52" t="inlineStr">
        <is>
          <t>C</t>
        </is>
      </c>
      <c r="G52" s="11" t="n">
        <v>96</v>
      </c>
      <c r="H52" s="11" t="n">
        <v>71</v>
      </c>
      <c r="I52" s="11" t="n">
        <v>1</v>
      </c>
      <c r="J52" s="11" t="n">
        <v>3</v>
      </c>
      <c r="K52" s="11" t="n">
        <v>0</v>
      </c>
      <c r="L52" s="11" t="n">
        <v>0</v>
      </c>
      <c r="M52" s="11" t="n">
        <v>14</v>
      </c>
      <c r="N52" s="11" t="n">
        <v>9</v>
      </c>
      <c r="O52" s="11" t="n">
        <v>36</v>
      </c>
      <c r="P52" s="11" t="n">
        <v>87</v>
      </c>
      <c r="Q52" s="11" t="n">
        <v>149</v>
      </c>
      <c r="R52" s="11" t="n">
        <v>395</v>
      </c>
      <c r="S52" s="11" t="n">
        <v>97</v>
      </c>
      <c r="T52" s="11" t="n">
        <v>858</v>
      </c>
      <c r="U52" s="11" t="n">
        <v>185</v>
      </c>
      <c r="V52" s="11" t="n">
        <v>885</v>
      </c>
      <c r="W52" s="11" t="n">
        <v>0</v>
      </c>
      <c r="X52" s="11" t="n">
        <v>34</v>
      </c>
      <c r="Y52" s="11" t="n">
        <v>1348</v>
      </c>
      <c r="Z52" s="11" t="n">
        <v>610</v>
      </c>
      <c r="AA52" s="11" t="n">
        <v>0</v>
      </c>
      <c r="AB52" s="11" t="n">
        <v>705</v>
      </c>
      <c r="AC52" s="11" t="n">
        <v>0</v>
      </c>
      <c r="AD52" s="11" t="n">
        <v>2</v>
      </c>
      <c r="AE52" s="11" t="n">
        <v>0</v>
      </c>
      <c r="AF52" s="11" t="n">
        <v>2</v>
      </c>
      <c r="AG52" s="11" t="n">
        <v>1</v>
      </c>
      <c r="AH52" s="11" t="n">
        <v>1</v>
      </c>
      <c r="AI52" s="11" t="n">
        <v>4727</v>
      </c>
      <c r="AJ52" s="11" t="n">
        <v>47</v>
      </c>
      <c r="AK52" s="11" t="n">
        <v>3</v>
      </c>
      <c r="AL52" s="11" t="n">
        <v>50</v>
      </c>
      <c r="AM52" s="11" t="n">
        <v>4777</v>
      </c>
      <c r="AN52" s="11" t="n">
        <v>404</v>
      </c>
      <c r="AO52" s="11" t="n">
        <v>0</v>
      </c>
      <c r="AP52" s="11" t="n">
        <v>1</v>
      </c>
      <c r="AQ52" s="11" t="n">
        <v>0</v>
      </c>
      <c r="AR52" s="11" t="n">
        <v>0</v>
      </c>
      <c r="AS52" s="11" t="n">
        <v>405</v>
      </c>
      <c r="AT52" s="11" t="n">
        <v>37</v>
      </c>
      <c r="AU52" s="11" t="n">
        <v>0</v>
      </c>
      <c r="AV52" s="11" t="n">
        <v>0</v>
      </c>
      <c r="AW52" s="11" t="n">
        <v>5</v>
      </c>
      <c r="AX52" s="11" t="n">
        <v>0</v>
      </c>
      <c r="AY52" s="11" t="n">
        <v>42</v>
      </c>
      <c r="AZ52" s="11" t="n">
        <v>24</v>
      </c>
      <c r="BA52" s="11" t="n">
        <v>37</v>
      </c>
      <c r="BB52" s="11" t="n">
        <v>13</v>
      </c>
      <c r="BC52" s="11" t="n">
        <v>0</v>
      </c>
      <c r="BD52" s="11" t="n">
        <v>0</v>
      </c>
      <c r="BE52" s="11" t="n">
        <v>74</v>
      </c>
      <c r="BF52" s="11" t="n">
        <v>1</v>
      </c>
      <c r="BG52" s="11" t="n">
        <v>0</v>
      </c>
      <c r="BH52" s="11" t="n">
        <v>43</v>
      </c>
      <c r="BI52" s="11" t="n">
        <v>3</v>
      </c>
      <c r="BJ52" s="11" t="n">
        <v>0</v>
      </c>
      <c r="BK52" s="11" t="n">
        <v>0</v>
      </c>
      <c r="BL52" s="11" t="n">
        <v>0</v>
      </c>
      <c r="BM52" s="11" t="n">
        <v>0</v>
      </c>
      <c r="BN52" s="11" t="n">
        <v>13</v>
      </c>
      <c r="BO52" s="11" t="n">
        <v>0</v>
      </c>
      <c r="BP52" s="11" t="n">
        <v>0</v>
      </c>
      <c r="BQ52" s="11" t="n">
        <v>60</v>
      </c>
      <c r="BR52" s="11" t="n">
        <v>134</v>
      </c>
      <c r="BS52" s="11" t="n">
        <v>5753</v>
      </c>
    </row>
    <row r="53">
      <c r="A53" s="11" t="n">
        <v>2023</v>
      </c>
      <c r="B53" t="inlineStr">
        <is>
          <t>Ouest</t>
        </is>
      </c>
      <c r="C53" t="inlineStr">
        <is>
          <t>Pays de la Loire</t>
        </is>
      </c>
      <c r="D53" t="inlineStr">
        <is>
          <t>49</t>
        </is>
      </c>
      <c r="E53" t="inlineStr">
        <is>
          <t>Maine-et-Loire</t>
        </is>
      </c>
      <c r="F53" t="inlineStr">
        <is>
          <t>B</t>
        </is>
      </c>
      <c r="G53" s="11" t="n">
        <v>825</v>
      </c>
      <c r="H53" s="11" t="n">
        <v>265</v>
      </c>
      <c r="I53" s="11" t="n">
        <v>0</v>
      </c>
      <c r="J53" s="11" t="n">
        <v>79</v>
      </c>
      <c r="K53" s="11" t="n">
        <v>103</v>
      </c>
      <c r="L53" s="11" t="n">
        <v>0</v>
      </c>
      <c r="M53" s="11" t="n">
        <v>34</v>
      </c>
      <c r="N53" s="11" t="n">
        <v>328</v>
      </c>
      <c r="O53" s="11" t="n">
        <v>592</v>
      </c>
      <c r="P53" s="11" t="n">
        <v>498</v>
      </c>
      <c r="Q53" s="11" t="n">
        <v>547</v>
      </c>
      <c r="R53" s="11" t="n">
        <v>3006</v>
      </c>
      <c r="S53" s="11" t="n">
        <v>147</v>
      </c>
      <c r="T53" s="11" t="n">
        <v>2729</v>
      </c>
      <c r="U53" s="11" t="n">
        <v>0</v>
      </c>
      <c r="V53" s="11" t="n">
        <v>4084</v>
      </c>
      <c r="W53" s="11" t="n">
        <v>0</v>
      </c>
      <c r="X53" s="11" t="n">
        <v>369</v>
      </c>
      <c r="Y53" s="11" t="n">
        <v>5346</v>
      </c>
      <c r="Z53" s="11" t="n">
        <v>1758</v>
      </c>
      <c r="AA53" s="11" t="n">
        <v>0</v>
      </c>
      <c r="AB53" s="11" t="n">
        <v>6004</v>
      </c>
      <c r="AC53" s="11" t="n">
        <v>86</v>
      </c>
      <c r="AD53" s="11" t="n">
        <v>44</v>
      </c>
      <c r="AE53" s="11" t="n">
        <v>0</v>
      </c>
      <c r="AF53" s="11" t="n">
        <v>272</v>
      </c>
      <c r="AG53" s="11" t="n">
        <v>21</v>
      </c>
      <c r="AH53" s="11" t="n">
        <v>5243</v>
      </c>
      <c r="AI53" s="11" t="n">
        <v>26082</v>
      </c>
      <c r="AJ53" s="11" t="n">
        <v>4423</v>
      </c>
      <c r="AK53" s="11" t="n">
        <v>0</v>
      </c>
      <c r="AL53" s="11" t="n">
        <v>4423</v>
      </c>
      <c r="AM53" s="11" t="n">
        <v>30505</v>
      </c>
      <c r="AN53" s="11" t="n">
        <v>3532</v>
      </c>
      <c r="AO53" s="11" t="n">
        <v>10</v>
      </c>
      <c r="AP53" s="11" t="n">
        <v>3</v>
      </c>
      <c r="AQ53" s="11" t="n">
        <v>11</v>
      </c>
      <c r="AR53" s="11" t="n">
        <v>0</v>
      </c>
      <c r="AS53" s="11" t="n">
        <v>3556</v>
      </c>
      <c r="AT53" s="11" t="n">
        <v>229</v>
      </c>
      <c r="AU53" s="11" t="n">
        <v>27</v>
      </c>
      <c r="AV53" s="11" t="n">
        <v>0</v>
      </c>
      <c r="AW53" s="11" t="n">
        <v>18</v>
      </c>
      <c r="AX53" s="11" t="n">
        <v>0</v>
      </c>
      <c r="AY53" s="11" t="n">
        <v>274</v>
      </c>
      <c r="AZ53" s="11" t="n">
        <v>150</v>
      </c>
      <c r="BA53" s="11" t="n">
        <v>3</v>
      </c>
      <c r="BB53" s="11" t="n">
        <v>474</v>
      </c>
      <c r="BC53" s="11" t="n">
        <v>0</v>
      </c>
      <c r="BD53" s="11" t="n">
        <v>0</v>
      </c>
      <c r="BE53" s="11" t="n">
        <v>627</v>
      </c>
      <c r="BF53" s="11" t="n">
        <v>152</v>
      </c>
      <c r="BG53" s="11" t="n">
        <v>152</v>
      </c>
      <c r="BH53" s="11" t="n">
        <v>515</v>
      </c>
      <c r="BI53" s="11" t="n">
        <v>45</v>
      </c>
      <c r="BJ53" s="11" t="n">
        <v>775</v>
      </c>
      <c r="BK53" s="11" t="n">
        <v>9</v>
      </c>
      <c r="BL53" s="11" t="n">
        <v>5</v>
      </c>
      <c r="BM53" s="11" t="n">
        <v>117</v>
      </c>
      <c r="BN53" s="11" t="n">
        <v>0</v>
      </c>
      <c r="BO53" s="11" t="n">
        <v>0</v>
      </c>
      <c r="BP53" s="11" t="n">
        <v>934</v>
      </c>
      <c r="BQ53" s="11" t="n">
        <v>2552</v>
      </c>
      <c r="BR53" s="11" t="n">
        <v>3179</v>
      </c>
      <c r="BS53" s="11" t="n">
        <v>40520</v>
      </c>
    </row>
    <row r="54">
      <c r="A54" s="11" t="n">
        <v>2023</v>
      </c>
      <c r="B54" t="inlineStr">
        <is>
          <t>Ouest</t>
        </is>
      </c>
      <c r="C54" t="inlineStr">
        <is>
          <t>Normandie</t>
        </is>
      </c>
      <c r="D54" t="inlineStr">
        <is>
          <t>50</t>
        </is>
      </c>
      <c r="E54" t="inlineStr">
        <is>
          <t>Manche</t>
        </is>
      </c>
      <c r="F54" t="inlineStr">
        <is>
          <t>B</t>
        </is>
      </c>
      <c r="G54" s="11" t="n">
        <v>646</v>
      </c>
      <c r="H54" s="11" t="n">
        <v>388</v>
      </c>
      <c r="I54" s="11" t="n">
        <v>9</v>
      </c>
      <c r="J54" s="11" t="n">
        <v>14</v>
      </c>
      <c r="K54" s="11" t="n">
        <v>22</v>
      </c>
      <c r="L54" s="11" t="n">
        <v>0</v>
      </c>
      <c r="M54" s="11" t="n">
        <v>30</v>
      </c>
      <c r="N54" s="11" t="n">
        <v>106</v>
      </c>
      <c r="O54" s="11" t="n">
        <v>266</v>
      </c>
      <c r="P54" s="11" t="n">
        <v>119</v>
      </c>
      <c r="Q54" s="11" t="n">
        <v>477</v>
      </c>
      <c r="R54" s="11" t="n">
        <v>1689</v>
      </c>
      <c r="S54" s="11" t="n">
        <v>358</v>
      </c>
      <c r="T54" s="11" t="n">
        <v>1366</v>
      </c>
      <c r="U54" s="11" t="n">
        <v>203</v>
      </c>
      <c r="V54" s="11" t="n">
        <v>4205</v>
      </c>
      <c r="W54" s="11" t="n">
        <v>0</v>
      </c>
      <c r="X54" s="11" t="n">
        <v>426</v>
      </c>
      <c r="Y54" s="11" t="n">
        <v>6814</v>
      </c>
      <c r="Z54" s="11" t="n">
        <v>4036</v>
      </c>
      <c r="AA54" s="11" t="n">
        <v>55</v>
      </c>
      <c r="AB54" s="11" t="n">
        <v>5275</v>
      </c>
      <c r="AC54" s="11" t="n">
        <v>1516</v>
      </c>
      <c r="AD54" s="11" t="n">
        <v>12</v>
      </c>
      <c r="AE54" s="11" t="n">
        <v>4</v>
      </c>
      <c r="AF54" s="11" t="n">
        <v>24</v>
      </c>
      <c r="AG54" s="11" t="n">
        <v>9</v>
      </c>
      <c r="AH54" s="11" t="n">
        <v>1317</v>
      </c>
      <c r="AI54" s="11" t="n">
        <v>25611</v>
      </c>
      <c r="AJ54" s="11" t="n">
        <v>2983</v>
      </c>
      <c r="AK54" s="11" t="n">
        <v>1204</v>
      </c>
      <c r="AL54" s="11" t="n">
        <v>4187</v>
      </c>
      <c r="AM54" s="11" t="n">
        <v>29798</v>
      </c>
      <c r="AN54" s="11" t="n">
        <v>2320</v>
      </c>
      <c r="AO54" s="11" t="n">
        <v>0</v>
      </c>
      <c r="AP54" s="11" t="n">
        <v>2</v>
      </c>
      <c r="AQ54" s="11" t="n">
        <v>6</v>
      </c>
      <c r="AR54" s="11" t="n">
        <v>0</v>
      </c>
      <c r="AS54" s="11" t="n">
        <v>2328</v>
      </c>
      <c r="AT54" s="11" t="n">
        <v>109</v>
      </c>
      <c r="AU54" s="11" t="n">
        <v>387</v>
      </c>
      <c r="AV54" s="11" t="n">
        <v>371</v>
      </c>
      <c r="AW54" s="11" t="n">
        <v>33</v>
      </c>
      <c r="AX54" s="11" t="n">
        <v>0</v>
      </c>
      <c r="AY54" s="11" t="n">
        <v>900</v>
      </c>
      <c r="AZ54" s="11" t="n">
        <v>429</v>
      </c>
      <c r="BA54" s="11" t="n">
        <v>601</v>
      </c>
      <c r="BB54" s="11" t="n">
        <v>160</v>
      </c>
      <c r="BC54" s="11" t="n">
        <v>0</v>
      </c>
      <c r="BD54" s="11" t="n">
        <v>0</v>
      </c>
      <c r="BE54" s="11" t="n">
        <v>1190</v>
      </c>
      <c r="BF54" s="11" t="n">
        <v>1</v>
      </c>
      <c r="BG54" s="11" t="n">
        <v>0</v>
      </c>
      <c r="BH54" s="11" t="n">
        <v>463</v>
      </c>
      <c r="BI54" s="11" t="n">
        <v>359</v>
      </c>
      <c r="BJ54" s="11" t="n">
        <v>940</v>
      </c>
      <c r="BK54" s="11" t="n">
        <v>0</v>
      </c>
      <c r="BL54" s="11" t="n">
        <v>82</v>
      </c>
      <c r="BM54" s="11" t="n">
        <v>3748</v>
      </c>
      <c r="BN54" s="11" t="n">
        <v>32</v>
      </c>
      <c r="BO54" s="11" t="n">
        <v>8</v>
      </c>
      <c r="BP54" s="11" t="n">
        <v>755</v>
      </c>
      <c r="BQ54" s="11" t="n">
        <v>6388</v>
      </c>
      <c r="BR54" s="11" t="n">
        <v>7578</v>
      </c>
      <c r="BS54" s="11" t="n">
        <v>42293</v>
      </c>
    </row>
    <row r="55">
      <c r="A55" s="11" t="n">
        <v>2023</v>
      </c>
      <c r="B55" t="inlineStr">
        <is>
          <t>Est</t>
        </is>
      </c>
      <c r="C55" t="inlineStr">
        <is>
          <t>Grand Est</t>
        </is>
      </c>
      <c r="D55" t="inlineStr">
        <is>
          <t>51</t>
        </is>
      </c>
      <c r="E55" t="inlineStr">
        <is>
          <t>Marne</t>
        </is>
      </c>
      <c r="F55" t="inlineStr">
        <is>
          <t>B</t>
        </is>
      </c>
      <c r="G55" s="11" t="n">
        <v>273</v>
      </c>
      <c r="H55" s="11" t="n">
        <v>196</v>
      </c>
      <c r="I55" s="11" t="n">
        <v>18</v>
      </c>
      <c r="J55" s="11" t="n">
        <v>42</v>
      </c>
      <c r="K55" s="11" t="n">
        <v>38</v>
      </c>
      <c r="L55" s="11" t="n">
        <v>7</v>
      </c>
      <c r="M55" s="11" t="n">
        <v>23</v>
      </c>
      <c r="N55" s="11" t="n">
        <v>645</v>
      </c>
      <c r="O55" s="11" t="n">
        <v>518</v>
      </c>
      <c r="P55" s="11" t="n">
        <v>379</v>
      </c>
      <c r="Q55" s="11" t="n">
        <v>260</v>
      </c>
      <c r="R55" s="11" t="n">
        <v>2203</v>
      </c>
      <c r="S55" s="11" t="n">
        <v>709</v>
      </c>
      <c r="T55" s="11" t="n">
        <v>3408</v>
      </c>
      <c r="U55" s="11" t="n">
        <v>651</v>
      </c>
      <c r="V55" s="11" t="n">
        <v>2997</v>
      </c>
      <c r="W55" s="11" t="n">
        <v>0</v>
      </c>
      <c r="X55" s="11" t="n">
        <v>695</v>
      </c>
      <c r="Y55" s="11" t="n">
        <v>8891</v>
      </c>
      <c r="Z55" s="11" t="n">
        <v>1823</v>
      </c>
      <c r="AA55" s="11" t="n">
        <v>52</v>
      </c>
      <c r="AB55" s="11" t="n">
        <v>3939</v>
      </c>
      <c r="AC55" s="11" t="n">
        <v>530</v>
      </c>
      <c r="AD55" s="11" t="n">
        <v>8</v>
      </c>
      <c r="AE55" s="11" t="n">
        <v>0</v>
      </c>
      <c r="AF55" s="11" t="n">
        <v>69</v>
      </c>
      <c r="AG55" s="11" t="n">
        <v>33</v>
      </c>
      <c r="AH55" s="11" t="n">
        <v>1369</v>
      </c>
      <c r="AI55" s="11" t="n">
        <v>25141</v>
      </c>
      <c r="AJ55" s="11" t="n">
        <v>2409</v>
      </c>
      <c r="AK55" s="11" t="n">
        <v>83</v>
      </c>
      <c r="AL55" s="11" t="n">
        <v>2492</v>
      </c>
      <c r="AM55" s="11" t="n">
        <v>27633</v>
      </c>
      <c r="AN55" s="11" t="n">
        <v>1898</v>
      </c>
      <c r="AO55" s="11" t="n">
        <v>7</v>
      </c>
      <c r="AP55" s="11" t="n">
        <v>6</v>
      </c>
      <c r="AQ55" s="11" t="n">
        <v>4</v>
      </c>
      <c r="AR55" s="11" t="n">
        <v>0</v>
      </c>
      <c r="AS55" s="11" t="n">
        <v>1915</v>
      </c>
      <c r="AT55" s="11" t="n">
        <v>130</v>
      </c>
      <c r="AU55" s="11" t="n">
        <v>93</v>
      </c>
      <c r="AV55" s="11" t="n">
        <v>46</v>
      </c>
      <c r="AW55" s="11" t="n">
        <v>11</v>
      </c>
      <c r="AX55" s="11" t="n">
        <v>54</v>
      </c>
      <c r="AY55" s="11" t="n">
        <v>334</v>
      </c>
      <c r="AZ55" s="11" t="n">
        <v>469</v>
      </c>
      <c r="BA55" s="11" t="n">
        <v>150</v>
      </c>
      <c r="BB55" s="11" t="n">
        <v>180</v>
      </c>
      <c r="BC55" s="11" t="n">
        <v>3</v>
      </c>
      <c r="BD55" s="11" t="n">
        <v>4</v>
      </c>
      <c r="BE55" s="11" t="n">
        <v>806</v>
      </c>
      <c r="BF55" s="11" t="n">
        <v>177</v>
      </c>
      <c r="BG55" s="11" t="n">
        <v>123</v>
      </c>
      <c r="BH55" s="11" t="n">
        <v>205</v>
      </c>
      <c r="BI55" s="11" t="n">
        <v>405</v>
      </c>
      <c r="BJ55" s="11" t="n">
        <v>2</v>
      </c>
      <c r="BK55" s="11" t="n">
        <v>0</v>
      </c>
      <c r="BL55" s="11" t="n">
        <v>10</v>
      </c>
      <c r="BM55" s="11" t="n">
        <v>65</v>
      </c>
      <c r="BN55" s="11" t="n">
        <v>0</v>
      </c>
      <c r="BO55" s="11" t="n">
        <v>1</v>
      </c>
      <c r="BP55" s="11" t="n">
        <v>824</v>
      </c>
      <c r="BQ55" s="11" t="n">
        <v>1689</v>
      </c>
      <c r="BR55" s="11" t="n">
        <v>2495</v>
      </c>
      <c r="BS55" s="11" t="n">
        <v>34580</v>
      </c>
    </row>
    <row r="56">
      <c r="A56" s="11" t="n">
        <v>2023</v>
      </c>
      <c r="B56" t="inlineStr">
        <is>
          <t>Est</t>
        </is>
      </c>
      <c r="C56" t="inlineStr">
        <is>
          <t>Grand Est</t>
        </is>
      </c>
      <c r="D56" t="inlineStr">
        <is>
          <t>52</t>
        </is>
      </c>
      <c r="E56" t="inlineStr">
        <is>
          <t>Haute-Marne</t>
        </is>
      </c>
      <c r="F56" t="inlineStr">
        <is>
          <t>C</t>
        </is>
      </c>
      <c r="G56" s="11" t="n">
        <v>504</v>
      </c>
      <c r="H56" s="11" t="n">
        <v>186</v>
      </c>
      <c r="I56" s="11" t="n">
        <v>325</v>
      </c>
      <c r="J56" s="11" t="n">
        <v>248</v>
      </c>
      <c r="K56" s="11" t="n">
        <v>17</v>
      </c>
      <c r="L56" s="11" t="n">
        <v>1</v>
      </c>
      <c r="M56" s="11" t="n">
        <v>30</v>
      </c>
      <c r="N56" s="11" t="n">
        <v>81</v>
      </c>
      <c r="O56" s="11" t="n">
        <v>180</v>
      </c>
      <c r="P56" s="11" t="n">
        <v>201</v>
      </c>
      <c r="Q56" s="11" t="n">
        <v>105</v>
      </c>
      <c r="R56" s="11" t="n">
        <v>1692</v>
      </c>
      <c r="S56" s="11" t="n">
        <v>18</v>
      </c>
      <c r="T56" s="11" t="n">
        <v>286</v>
      </c>
      <c r="U56" s="11" t="n">
        <v>42</v>
      </c>
      <c r="V56" s="11" t="n">
        <v>102</v>
      </c>
      <c r="W56" s="11" t="n">
        <v>0</v>
      </c>
      <c r="X56" s="11" t="n">
        <v>57</v>
      </c>
      <c r="Y56" s="11" t="n">
        <v>4666</v>
      </c>
      <c r="Z56" s="11" t="n">
        <v>385</v>
      </c>
      <c r="AA56" s="11" t="n">
        <v>5</v>
      </c>
      <c r="AB56" s="11" t="n">
        <v>1112</v>
      </c>
      <c r="AC56" s="11" t="n">
        <v>373</v>
      </c>
      <c r="AD56" s="11" t="n">
        <v>3</v>
      </c>
      <c r="AE56" s="11" t="n">
        <v>0</v>
      </c>
      <c r="AF56" s="11" t="n">
        <v>8</v>
      </c>
      <c r="AG56" s="11" t="n">
        <v>7</v>
      </c>
      <c r="AH56" s="11" t="n">
        <v>422</v>
      </c>
      <c r="AI56" s="11" t="n">
        <v>7479</v>
      </c>
      <c r="AJ56" s="11" t="n">
        <v>0</v>
      </c>
      <c r="AK56" s="11" t="n">
        <v>0</v>
      </c>
      <c r="AL56" s="11" t="n">
        <v>0</v>
      </c>
      <c r="AM56" s="11" t="n">
        <v>7479</v>
      </c>
      <c r="AN56" s="11" t="n">
        <v>838</v>
      </c>
      <c r="AO56" s="11" t="n">
        <v>7</v>
      </c>
      <c r="AP56" s="11" t="n">
        <v>2</v>
      </c>
      <c r="AQ56" s="11" t="n">
        <v>1</v>
      </c>
      <c r="AR56" s="11" t="n">
        <v>0</v>
      </c>
      <c r="AS56" s="11" t="n">
        <v>848</v>
      </c>
      <c r="AT56" s="11" t="n">
        <v>77</v>
      </c>
      <c r="AU56" s="11" t="n">
        <v>32</v>
      </c>
      <c r="AV56" s="11" t="n">
        <v>0</v>
      </c>
      <c r="AW56" s="11" t="n">
        <v>15</v>
      </c>
      <c r="AX56" s="11" t="n">
        <v>8</v>
      </c>
      <c r="AY56" s="11" t="n">
        <v>132</v>
      </c>
      <c r="AZ56" s="11" t="n">
        <v>61</v>
      </c>
      <c r="BA56" s="11" t="n">
        <v>98</v>
      </c>
      <c r="BB56" s="11" t="n">
        <v>12</v>
      </c>
      <c r="BC56" s="11" t="n">
        <v>0</v>
      </c>
      <c r="BD56" s="11" t="n">
        <v>0</v>
      </c>
      <c r="BE56" s="11" t="n">
        <v>171</v>
      </c>
      <c r="BF56" s="11" t="n">
        <v>0</v>
      </c>
      <c r="BG56" s="11" t="n">
        <v>0</v>
      </c>
      <c r="BH56" s="11" t="n">
        <v>148</v>
      </c>
      <c r="BI56" s="11" t="n">
        <v>5</v>
      </c>
      <c r="BJ56" s="11" t="n">
        <v>15</v>
      </c>
      <c r="BK56" s="11" t="n">
        <v>0</v>
      </c>
      <c r="BL56" s="11" t="n">
        <v>0</v>
      </c>
      <c r="BM56" s="11" t="n">
        <v>29</v>
      </c>
      <c r="BN56" s="11" t="n">
        <v>18</v>
      </c>
      <c r="BO56" s="11" t="n">
        <v>1</v>
      </c>
      <c r="BP56" s="11" t="n">
        <v>280</v>
      </c>
      <c r="BQ56" s="11" t="n">
        <v>496</v>
      </c>
      <c r="BR56" s="11" t="n">
        <v>667</v>
      </c>
      <c r="BS56" s="11" t="n">
        <v>10818</v>
      </c>
    </row>
    <row r="57">
      <c r="A57" s="11" t="n">
        <v>2023</v>
      </c>
      <c r="B57" t="inlineStr">
        <is>
          <t>Ouest</t>
        </is>
      </c>
      <c r="C57" t="inlineStr">
        <is>
          <t>Pays de la Loire</t>
        </is>
      </c>
      <c r="D57" t="inlineStr">
        <is>
          <t>53</t>
        </is>
      </c>
      <c r="E57" t="inlineStr">
        <is>
          <t>Mayenne</t>
        </is>
      </c>
      <c r="F57" t="inlineStr">
        <is>
          <t>C</t>
        </is>
      </c>
      <c r="G57" s="11" t="n">
        <v>299</v>
      </c>
      <c r="H57" s="11" t="n">
        <v>150</v>
      </c>
      <c r="I57" s="11" t="n">
        <v>2</v>
      </c>
      <c r="J57" s="11" t="n">
        <v>16</v>
      </c>
      <c r="K57" s="11" t="n">
        <v>24</v>
      </c>
      <c r="L57" s="11" t="n">
        <v>9</v>
      </c>
      <c r="M57" s="11" t="n">
        <v>42</v>
      </c>
      <c r="N57" s="11" t="n">
        <v>77</v>
      </c>
      <c r="O57" s="11" t="n">
        <v>154</v>
      </c>
      <c r="P57" s="11" t="n">
        <v>198</v>
      </c>
      <c r="Q57" s="11" t="n">
        <v>210</v>
      </c>
      <c r="R57" s="11" t="n">
        <v>1031</v>
      </c>
      <c r="S57" s="11" t="n">
        <v>301</v>
      </c>
      <c r="T57" s="11" t="n">
        <v>1115</v>
      </c>
      <c r="U57" s="11" t="n">
        <v>194</v>
      </c>
      <c r="V57" s="11" t="n">
        <v>1432</v>
      </c>
      <c r="W57" s="11" t="n">
        <v>0</v>
      </c>
      <c r="X57" s="11" t="n">
        <v>178</v>
      </c>
      <c r="Y57" s="11" t="n">
        <v>4704</v>
      </c>
      <c r="Z57" s="11" t="n">
        <v>666</v>
      </c>
      <c r="AA57" s="11" t="n">
        <v>14</v>
      </c>
      <c r="AB57" s="11" t="n">
        <v>3070</v>
      </c>
      <c r="AC57" s="11" t="n">
        <v>770</v>
      </c>
      <c r="AD57" s="11" t="n">
        <v>21</v>
      </c>
      <c r="AE57" s="11" t="n">
        <v>0</v>
      </c>
      <c r="AF57" s="11" t="n">
        <v>11</v>
      </c>
      <c r="AG57" s="11" t="n">
        <v>11</v>
      </c>
      <c r="AH57" s="11" t="n">
        <v>0</v>
      </c>
      <c r="AI57" s="11" t="n">
        <v>12476</v>
      </c>
      <c r="AJ57" s="11" t="n">
        <v>838</v>
      </c>
      <c r="AK57" s="11" t="n">
        <v>1124</v>
      </c>
      <c r="AL57" s="11" t="n">
        <v>1962</v>
      </c>
      <c r="AM57" s="11" t="n">
        <v>14438</v>
      </c>
      <c r="AN57" s="11" t="n">
        <v>1273</v>
      </c>
      <c r="AO57" s="11" t="n">
        <v>2</v>
      </c>
      <c r="AP57" s="11" t="n">
        <v>0</v>
      </c>
      <c r="AQ57" s="11" t="n">
        <v>1</v>
      </c>
      <c r="AR57" s="11" t="n">
        <v>0</v>
      </c>
      <c r="AS57" s="11" t="n">
        <v>1276</v>
      </c>
      <c r="AT57" s="11" t="n">
        <v>86</v>
      </c>
      <c r="AU57" s="11" t="n">
        <v>37</v>
      </c>
      <c r="AV57" s="11" t="n">
        <v>48</v>
      </c>
      <c r="AW57" s="11" t="n">
        <v>10</v>
      </c>
      <c r="AX57" s="11" t="n">
        <v>0</v>
      </c>
      <c r="AY57" s="11" t="n">
        <v>181</v>
      </c>
      <c r="AZ57" s="11" t="n">
        <v>50</v>
      </c>
      <c r="BA57" s="11" t="n">
        <v>180</v>
      </c>
      <c r="BB57" s="11" t="n">
        <v>0</v>
      </c>
      <c r="BC57" s="11" t="n">
        <v>0</v>
      </c>
      <c r="BD57" s="11" t="n">
        <v>0</v>
      </c>
      <c r="BE57" s="11" t="n">
        <v>230</v>
      </c>
      <c r="BF57" s="11" t="n">
        <v>89</v>
      </c>
      <c r="BG57" s="11" t="n">
        <v>89</v>
      </c>
      <c r="BH57" s="11" t="n">
        <v>117</v>
      </c>
      <c r="BI57" s="11" t="n">
        <v>0</v>
      </c>
      <c r="BJ57" s="11" t="n">
        <v>71</v>
      </c>
      <c r="BK57" s="11" t="n">
        <v>0</v>
      </c>
      <c r="BL57" s="11" t="n">
        <v>3</v>
      </c>
      <c r="BM57" s="11" t="n">
        <v>0</v>
      </c>
      <c r="BN57" s="11" t="n">
        <v>0</v>
      </c>
      <c r="BO57" s="11" t="n">
        <v>16</v>
      </c>
      <c r="BP57" s="11" t="n">
        <v>271</v>
      </c>
      <c r="BQ57" s="11" t="n">
        <v>567</v>
      </c>
      <c r="BR57" s="11" t="n">
        <v>797</v>
      </c>
      <c r="BS57" s="11" t="n">
        <v>17723</v>
      </c>
    </row>
    <row r="58">
      <c r="A58" s="11" t="n">
        <v>2023</v>
      </c>
      <c r="B58" t="inlineStr">
        <is>
          <t>Est</t>
        </is>
      </c>
      <c r="C58" t="inlineStr">
        <is>
          <t>Grand Est</t>
        </is>
      </c>
      <c r="D58" t="inlineStr">
        <is>
          <t>54</t>
        </is>
      </c>
      <c r="E58" t="inlineStr">
        <is>
          <t>Meurthe-et-Moselle</t>
        </is>
      </c>
      <c r="F58" t="inlineStr">
        <is>
          <t>B</t>
        </is>
      </c>
      <c r="G58" s="11" t="n">
        <v>1006</v>
      </c>
      <c r="H58" s="11" t="n">
        <v>188</v>
      </c>
      <c r="I58" s="11" t="n">
        <v>38</v>
      </c>
      <c r="J58" s="11" t="n">
        <v>103</v>
      </c>
      <c r="K58" s="11" t="n">
        <v>45</v>
      </c>
      <c r="L58" s="11" t="n">
        <v>3</v>
      </c>
      <c r="M58" s="11" t="n">
        <v>19</v>
      </c>
      <c r="N58" s="11" t="n">
        <v>790</v>
      </c>
      <c r="O58" s="11" t="n">
        <v>539</v>
      </c>
      <c r="P58" s="11" t="n">
        <v>465</v>
      </c>
      <c r="Q58" s="11" t="n">
        <v>109</v>
      </c>
      <c r="R58" s="11" t="n">
        <v>3117</v>
      </c>
      <c r="S58" s="11" t="n">
        <v>479</v>
      </c>
      <c r="T58" s="11" t="n">
        <v>3495</v>
      </c>
      <c r="U58" s="11" t="n">
        <v>14</v>
      </c>
      <c r="V58" s="11" t="n">
        <v>4478</v>
      </c>
      <c r="W58" s="11" t="n">
        <v>0</v>
      </c>
      <c r="X58" s="11" t="n">
        <v>469</v>
      </c>
      <c r="Y58" s="11" t="n">
        <v>10503</v>
      </c>
      <c r="Z58" s="11" t="n">
        <v>2951</v>
      </c>
      <c r="AA58" s="11" t="n">
        <v>0</v>
      </c>
      <c r="AB58" s="11" t="n">
        <v>7206</v>
      </c>
      <c r="AC58" s="11" t="n">
        <v>555</v>
      </c>
      <c r="AD58" s="11" t="n">
        <v>21</v>
      </c>
      <c r="AE58" s="11" t="n">
        <v>0</v>
      </c>
      <c r="AF58" s="11" t="n">
        <v>46</v>
      </c>
      <c r="AG58" s="11" t="n">
        <v>45</v>
      </c>
      <c r="AH58" s="11" t="n">
        <v>560</v>
      </c>
      <c r="AI58" s="11" t="n">
        <v>30777</v>
      </c>
      <c r="AJ58" s="11" t="n">
        <v>4896</v>
      </c>
      <c r="AK58" s="11" t="n">
        <v>8</v>
      </c>
      <c r="AL58" s="11" t="n">
        <v>4904</v>
      </c>
      <c r="AM58" s="11" t="n">
        <v>35681</v>
      </c>
      <c r="AN58" s="11" t="n">
        <v>2384</v>
      </c>
      <c r="AO58" s="11" t="n">
        <v>10</v>
      </c>
      <c r="AP58" s="11" t="n">
        <v>1</v>
      </c>
      <c r="AQ58" s="11" t="n">
        <v>0</v>
      </c>
      <c r="AR58" s="11" t="n">
        <v>0</v>
      </c>
      <c r="AS58" s="11" t="n">
        <v>2395</v>
      </c>
      <c r="AT58" s="11" t="n">
        <v>350</v>
      </c>
      <c r="AU58" s="11" t="n">
        <v>189</v>
      </c>
      <c r="AV58" s="11" t="n">
        <v>133</v>
      </c>
      <c r="AW58" s="11" t="n">
        <v>63</v>
      </c>
      <c r="AX58" s="11" t="n">
        <v>0</v>
      </c>
      <c r="AY58" s="11" t="n">
        <v>735</v>
      </c>
      <c r="AZ58" s="11" t="n">
        <v>848</v>
      </c>
      <c r="BA58" s="11" t="n">
        <v>87</v>
      </c>
      <c r="BB58" s="11" t="n">
        <v>225</v>
      </c>
      <c r="BC58" s="11" t="n">
        <v>0</v>
      </c>
      <c r="BD58" s="11" t="n">
        <v>0</v>
      </c>
      <c r="BE58" s="11" t="n">
        <v>1160</v>
      </c>
      <c r="BF58" s="11" t="n">
        <v>573</v>
      </c>
      <c r="BG58" s="11" t="n">
        <v>0</v>
      </c>
      <c r="BH58" s="11" t="n">
        <v>426</v>
      </c>
      <c r="BI58" s="11" t="n">
        <v>256</v>
      </c>
      <c r="BJ58" s="11" t="n">
        <v>6</v>
      </c>
      <c r="BK58" s="11" t="n">
        <v>0</v>
      </c>
      <c r="BL58" s="11" t="n">
        <v>5</v>
      </c>
      <c r="BM58" s="11" t="n">
        <v>99</v>
      </c>
      <c r="BN58" s="11" t="n">
        <v>2</v>
      </c>
      <c r="BO58" s="11" t="n">
        <v>0</v>
      </c>
      <c r="BP58" s="11" t="n">
        <v>39</v>
      </c>
      <c r="BQ58" s="11" t="n">
        <v>1406</v>
      </c>
      <c r="BR58" s="11" t="n">
        <v>2566</v>
      </c>
      <c r="BS58" s="11" t="n">
        <v>44494</v>
      </c>
    </row>
    <row r="59">
      <c r="A59" s="11" t="n">
        <v>2023</v>
      </c>
      <c r="B59" t="inlineStr">
        <is>
          <t>Est</t>
        </is>
      </c>
      <c r="C59" t="inlineStr">
        <is>
          <t>Grand Est</t>
        </is>
      </c>
      <c r="D59" t="inlineStr">
        <is>
          <t>55</t>
        </is>
      </c>
      <c r="E59" t="inlineStr">
        <is>
          <t>Meuse</t>
        </is>
      </c>
      <c r="F59" t="inlineStr">
        <is>
          <t>C</t>
        </is>
      </c>
      <c r="G59" s="11" t="n">
        <v>282</v>
      </c>
      <c r="H59" s="11" t="n">
        <v>147</v>
      </c>
      <c r="I59" s="11" t="n">
        <v>0</v>
      </c>
      <c r="J59" s="11" t="n">
        <v>6</v>
      </c>
      <c r="K59" s="11" t="n">
        <v>2</v>
      </c>
      <c r="L59" s="11" t="n">
        <v>5</v>
      </c>
      <c r="M59" s="11" t="n">
        <v>18</v>
      </c>
      <c r="N59" s="11" t="n">
        <v>87</v>
      </c>
      <c r="O59" s="11" t="n">
        <v>122</v>
      </c>
      <c r="P59" s="11" t="n">
        <v>146</v>
      </c>
      <c r="Q59" s="11" t="n">
        <v>99</v>
      </c>
      <c r="R59" s="11" t="n">
        <v>767</v>
      </c>
      <c r="S59" s="11" t="n">
        <v>1</v>
      </c>
      <c r="T59" s="11" t="n">
        <v>126</v>
      </c>
      <c r="U59" s="11" t="n">
        <v>0</v>
      </c>
      <c r="V59" s="11" t="n">
        <v>750</v>
      </c>
      <c r="W59" s="11" t="n">
        <v>0</v>
      </c>
      <c r="X59" s="11" t="n">
        <v>0</v>
      </c>
      <c r="Y59" s="11" t="n">
        <v>5193</v>
      </c>
      <c r="Z59" s="11" t="n">
        <v>3070</v>
      </c>
      <c r="AA59" s="11" t="n">
        <v>0</v>
      </c>
      <c r="AB59" s="11" t="n">
        <v>735</v>
      </c>
      <c r="AC59" s="11" t="n">
        <v>226</v>
      </c>
      <c r="AD59" s="11" t="n">
        <v>6</v>
      </c>
      <c r="AE59" s="11" t="n">
        <v>0</v>
      </c>
      <c r="AF59" s="11" t="n">
        <v>15</v>
      </c>
      <c r="AG59" s="11" t="n">
        <v>14</v>
      </c>
      <c r="AH59" s="11" t="n">
        <v>0</v>
      </c>
      <c r="AI59" s="11" t="n">
        <v>10122</v>
      </c>
      <c r="AJ59" s="11" t="n">
        <v>2511</v>
      </c>
      <c r="AK59" s="11" t="n">
        <v>0</v>
      </c>
      <c r="AL59" s="11" t="n">
        <v>2511</v>
      </c>
      <c r="AM59" s="11" t="n">
        <v>12633</v>
      </c>
      <c r="AN59" s="11" t="n">
        <v>740</v>
      </c>
      <c r="AO59" s="11" t="n">
        <v>2</v>
      </c>
      <c r="AP59" s="11" t="n">
        <v>3</v>
      </c>
      <c r="AQ59" s="11" t="n">
        <v>0</v>
      </c>
      <c r="AR59" s="11" t="n">
        <v>0</v>
      </c>
      <c r="AS59" s="11" t="n">
        <v>745</v>
      </c>
      <c r="AT59" s="11" t="n">
        <v>97</v>
      </c>
      <c r="AU59" s="11" t="n">
        <v>137</v>
      </c>
      <c r="AV59" s="11" t="n">
        <v>60</v>
      </c>
      <c r="AW59" s="11" t="n">
        <v>23</v>
      </c>
      <c r="AX59" s="11" t="n">
        <v>0</v>
      </c>
      <c r="AY59" s="11" t="n">
        <v>317</v>
      </c>
      <c r="AZ59" s="11" t="n">
        <v>0</v>
      </c>
      <c r="BA59" s="11" t="n">
        <v>118</v>
      </c>
      <c r="BB59" s="11" t="n">
        <v>17</v>
      </c>
      <c r="BC59" s="11" t="n">
        <v>27</v>
      </c>
      <c r="BD59" s="11" t="n">
        <v>0</v>
      </c>
      <c r="BE59" s="11" t="n">
        <v>162</v>
      </c>
      <c r="BF59" s="11" t="n">
        <v>0</v>
      </c>
      <c r="BG59" s="11" t="n">
        <v>0</v>
      </c>
      <c r="BH59" s="11" t="n">
        <v>183</v>
      </c>
      <c r="BI59" s="11" t="n">
        <v>247</v>
      </c>
      <c r="BJ59" s="11" t="n">
        <v>0</v>
      </c>
      <c r="BK59" s="11" t="n">
        <v>0</v>
      </c>
      <c r="BL59" s="11" t="n">
        <v>2</v>
      </c>
      <c r="BM59" s="11" t="n">
        <v>49</v>
      </c>
      <c r="BN59" s="11" t="n">
        <v>1</v>
      </c>
      <c r="BO59" s="11" t="n">
        <v>3</v>
      </c>
      <c r="BP59" s="11" t="n">
        <v>0</v>
      </c>
      <c r="BQ59" s="11" t="n">
        <v>485</v>
      </c>
      <c r="BR59" s="11" t="n">
        <v>647</v>
      </c>
      <c r="BS59" s="11" t="n">
        <v>15109</v>
      </c>
    </row>
    <row r="60">
      <c r="A60" s="11" t="n">
        <v>2023</v>
      </c>
      <c r="B60" t="inlineStr">
        <is>
          <t>Ouest</t>
        </is>
      </c>
      <c r="C60" t="inlineStr">
        <is>
          <t>Bretagne</t>
        </is>
      </c>
      <c r="D60" t="inlineStr">
        <is>
          <t>56</t>
        </is>
      </c>
      <c r="E60" t="inlineStr">
        <is>
          <t>Morbihan</t>
        </is>
      </c>
      <c r="F60" t="inlineStr">
        <is>
          <t>B</t>
        </is>
      </c>
      <c r="G60" s="11" t="n">
        <v>763</v>
      </c>
      <c r="H60" s="11" t="n">
        <v>356</v>
      </c>
      <c r="I60" s="11" t="n">
        <v>18</v>
      </c>
      <c r="J60" s="11" t="n">
        <v>42</v>
      </c>
      <c r="K60" s="11" t="n">
        <v>0</v>
      </c>
      <c r="L60" s="11" t="n">
        <v>0</v>
      </c>
      <c r="M60" s="11" t="n">
        <v>44</v>
      </c>
      <c r="N60" s="11" t="n">
        <v>389</v>
      </c>
      <c r="O60" s="11" t="n">
        <v>366</v>
      </c>
      <c r="P60" s="11" t="n">
        <v>375</v>
      </c>
      <c r="Q60" s="11" t="n">
        <v>908</v>
      </c>
      <c r="R60" s="11" t="n">
        <v>2905</v>
      </c>
      <c r="S60" s="11" t="n">
        <v>1167</v>
      </c>
      <c r="T60" s="11" t="n">
        <v>16216</v>
      </c>
      <c r="U60" s="11" t="n">
        <v>0</v>
      </c>
      <c r="V60" s="11" t="n">
        <v>9649</v>
      </c>
      <c r="W60" s="11" t="n">
        <v>0</v>
      </c>
      <c r="X60" s="11" t="n">
        <v>0</v>
      </c>
      <c r="Y60" s="11" t="n">
        <v>0</v>
      </c>
      <c r="Z60" s="11" t="n">
        <v>570</v>
      </c>
      <c r="AA60" s="11" t="n">
        <v>0</v>
      </c>
      <c r="AB60" s="11" t="n">
        <v>0</v>
      </c>
      <c r="AC60" s="11" t="n">
        <v>1610</v>
      </c>
      <c r="AD60" s="11" t="n">
        <v>39</v>
      </c>
      <c r="AE60" s="11" t="n">
        <v>18</v>
      </c>
      <c r="AF60" s="11" t="n">
        <v>38</v>
      </c>
      <c r="AG60" s="11" t="n">
        <v>0</v>
      </c>
      <c r="AH60" s="11" t="n">
        <v>0</v>
      </c>
      <c r="AI60" s="11" t="n">
        <v>29307</v>
      </c>
      <c r="AJ60" s="11" t="n">
        <v>1850</v>
      </c>
      <c r="AK60" s="11" t="n">
        <v>33</v>
      </c>
      <c r="AL60" s="11" t="n">
        <v>1883</v>
      </c>
      <c r="AM60" s="11" t="n">
        <v>31190</v>
      </c>
      <c r="AN60" s="11" t="n">
        <v>3385</v>
      </c>
      <c r="AO60" s="11" t="n">
        <v>4</v>
      </c>
      <c r="AP60" s="11" t="n">
        <v>5</v>
      </c>
      <c r="AQ60" s="11" t="n">
        <v>161</v>
      </c>
      <c r="AR60" s="11" t="n">
        <v>0</v>
      </c>
      <c r="AS60" s="11" t="n">
        <v>3555</v>
      </c>
      <c r="AT60" s="11" t="n">
        <v>201</v>
      </c>
      <c r="AU60" s="11" t="n">
        <v>26</v>
      </c>
      <c r="AV60" s="11" t="n">
        <v>413</v>
      </c>
      <c r="AW60" s="11" t="n">
        <v>40</v>
      </c>
      <c r="AX60" s="11" t="n">
        <v>0</v>
      </c>
      <c r="AY60" s="11" t="n">
        <v>680</v>
      </c>
      <c r="AZ60" s="11" t="n">
        <v>742</v>
      </c>
      <c r="BA60" s="11" t="n">
        <v>10</v>
      </c>
      <c r="BB60" s="11" t="n">
        <v>0</v>
      </c>
      <c r="BC60" s="11" t="n">
        <v>0</v>
      </c>
      <c r="BD60" s="11" t="n">
        <v>0</v>
      </c>
      <c r="BE60" s="11" t="n">
        <v>752</v>
      </c>
      <c r="BF60" s="11" t="n">
        <v>0</v>
      </c>
      <c r="BG60" s="11" t="n">
        <v>0</v>
      </c>
      <c r="BH60" s="11" t="n">
        <v>542</v>
      </c>
      <c r="BI60" s="11" t="n">
        <v>5</v>
      </c>
      <c r="BJ60" s="11" t="n">
        <v>908</v>
      </c>
      <c r="BK60" s="11" t="n">
        <v>0</v>
      </c>
      <c r="BL60" s="11" t="n">
        <v>5</v>
      </c>
      <c r="BM60" s="11" t="n">
        <v>0</v>
      </c>
      <c r="BN60" s="11" t="n">
        <v>0</v>
      </c>
      <c r="BO60" s="11" t="n">
        <v>0</v>
      </c>
      <c r="BP60" s="11" t="n">
        <v>1081</v>
      </c>
      <c r="BQ60" s="11" t="n">
        <v>2541</v>
      </c>
      <c r="BR60" s="11" t="n">
        <v>3293</v>
      </c>
      <c r="BS60" s="11" t="n">
        <v>41623</v>
      </c>
    </row>
    <row r="61">
      <c r="A61" s="11" t="n">
        <v>2023</v>
      </c>
      <c r="B61" t="inlineStr">
        <is>
          <t>Est</t>
        </is>
      </c>
      <c r="C61" t="inlineStr">
        <is>
          <t>Grand Est</t>
        </is>
      </c>
      <c r="D61" t="inlineStr">
        <is>
          <t>57</t>
        </is>
      </c>
      <c r="E61" t="inlineStr">
        <is>
          <t>Moselle</t>
        </is>
      </c>
      <c r="F61" t="inlineStr">
        <is>
          <t>A</t>
        </is>
      </c>
      <c r="G61" s="11" t="n">
        <v>976</v>
      </c>
      <c r="H61" s="11" t="n">
        <v>258</v>
      </c>
      <c r="I61" s="11" t="n">
        <v>43</v>
      </c>
      <c r="J61" s="11" t="n">
        <v>82</v>
      </c>
      <c r="K61" s="11" t="n">
        <v>60</v>
      </c>
      <c r="L61" s="11" t="n">
        <v>9</v>
      </c>
      <c r="M61" s="11" t="n">
        <v>32</v>
      </c>
      <c r="N61" s="11" t="n">
        <v>971</v>
      </c>
      <c r="O61" s="11" t="n">
        <v>872</v>
      </c>
      <c r="P61" s="11" t="n">
        <v>863</v>
      </c>
      <c r="Q61" s="11" t="n">
        <v>968</v>
      </c>
      <c r="R61" s="11" t="n">
        <v>4876</v>
      </c>
      <c r="S61" s="11" t="n">
        <v>498</v>
      </c>
      <c r="T61" s="11" t="n">
        <v>947</v>
      </c>
      <c r="U61" s="11" t="n">
        <v>0</v>
      </c>
      <c r="V61" s="11" t="n">
        <v>6765</v>
      </c>
      <c r="W61" s="11" t="n">
        <v>0</v>
      </c>
      <c r="X61" s="11" t="n">
        <v>370</v>
      </c>
      <c r="Y61" s="11" t="n">
        <v>15423</v>
      </c>
      <c r="Z61" s="11" t="n">
        <v>7972</v>
      </c>
      <c r="AA61" s="11" t="n">
        <v>0</v>
      </c>
      <c r="AB61" s="11" t="n">
        <v>7539</v>
      </c>
      <c r="AC61" s="11" t="n">
        <v>757</v>
      </c>
      <c r="AD61" s="11" t="n">
        <v>26</v>
      </c>
      <c r="AE61" s="11" t="n">
        <v>0</v>
      </c>
      <c r="AF61" s="11" t="n">
        <v>215</v>
      </c>
      <c r="AG61" s="11" t="n">
        <v>211</v>
      </c>
      <c r="AH61" s="11" t="n">
        <v>5134</v>
      </c>
      <c r="AI61" s="11" t="n">
        <v>45646</v>
      </c>
      <c r="AJ61" s="11" t="n">
        <v>9054</v>
      </c>
      <c r="AK61" s="11" t="n">
        <v>4</v>
      </c>
      <c r="AL61" s="11" t="n">
        <v>9058</v>
      </c>
      <c r="AM61" s="11" t="n">
        <v>54704</v>
      </c>
      <c r="AN61" s="11" t="n">
        <v>3620</v>
      </c>
      <c r="AO61" s="11" t="n">
        <v>4</v>
      </c>
      <c r="AP61" s="11" t="n">
        <v>3</v>
      </c>
      <c r="AQ61" s="11" t="n">
        <v>1</v>
      </c>
      <c r="AR61" s="11" t="n">
        <v>0</v>
      </c>
      <c r="AS61" s="11" t="n">
        <v>3628</v>
      </c>
      <c r="AT61" s="11" t="n">
        <v>649</v>
      </c>
      <c r="AU61" s="11" t="n">
        <v>172</v>
      </c>
      <c r="AV61" s="11" t="n">
        <v>213</v>
      </c>
      <c r="AW61" s="11" t="n">
        <v>81</v>
      </c>
      <c r="AX61" s="11" t="n">
        <v>15</v>
      </c>
      <c r="AY61" s="11" t="n">
        <v>1130</v>
      </c>
      <c r="AZ61" s="11" t="n">
        <v>1132</v>
      </c>
      <c r="BA61" s="11" t="n">
        <v>195</v>
      </c>
      <c r="BB61" s="11" t="n">
        <v>1747</v>
      </c>
      <c r="BC61" s="11" t="n">
        <v>0</v>
      </c>
      <c r="BD61" s="11" t="n">
        <v>0</v>
      </c>
      <c r="BE61" s="11" t="n">
        <v>3074</v>
      </c>
      <c r="BF61" s="11" t="n">
        <v>0</v>
      </c>
      <c r="BG61" s="11" t="n">
        <v>0</v>
      </c>
      <c r="BH61" s="11" t="n">
        <v>838</v>
      </c>
      <c r="BI61" s="11" t="n">
        <v>565</v>
      </c>
      <c r="BJ61" s="11" t="n">
        <v>252</v>
      </c>
      <c r="BK61" s="11" t="n">
        <v>0</v>
      </c>
      <c r="BL61" s="11" t="n">
        <v>0</v>
      </c>
      <c r="BM61" s="11" t="n">
        <v>163</v>
      </c>
      <c r="BN61" s="11" t="n">
        <v>843</v>
      </c>
      <c r="BO61" s="11" t="n">
        <v>0</v>
      </c>
      <c r="BP61" s="11" t="n">
        <v>478</v>
      </c>
      <c r="BQ61" s="11" t="n">
        <v>3139</v>
      </c>
      <c r="BR61" s="11" t="n">
        <v>6213</v>
      </c>
      <c r="BS61" s="11" t="n">
        <v>70551</v>
      </c>
    </row>
    <row r="62">
      <c r="A62" s="11" t="n">
        <v>2023</v>
      </c>
      <c r="B62" t="inlineStr">
        <is>
          <t>Est</t>
        </is>
      </c>
      <c r="C62" t="inlineStr">
        <is>
          <t>Bourgogne-Franche-Comt�</t>
        </is>
      </c>
      <c r="D62" t="inlineStr">
        <is>
          <t>58</t>
        </is>
      </c>
      <c r="E62" t="inlineStr">
        <is>
          <t>Ni�vre</t>
        </is>
      </c>
      <c r="F62" t="inlineStr">
        <is>
          <t>C</t>
        </is>
      </c>
      <c r="G62" s="11" t="n">
        <v>336</v>
      </c>
      <c r="H62" s="11" t="n">
        <v>215</v>
      </c>
      <c r="I62" s="11" t="n">
        <v>5</v>
      </c>
      <c r="J62" s="11" t="n">
        <v>10</v>
      </c>
      <c r="K62" s="11" t="n">
        <v>14</v>
      </c>
      <c r="L62" s="11" t="n">
        <v>4</v>
      </c>
      <c r="M62" s="11" t="n">
        <v>17</v>
      </c>
      <c r="N62" s="11" t="n">
        <v>93</v>
      </c>
      <c r="O62" s="11" t="n">
        <v>203</v>
      </c>
      <c r="P62" s="11" t="n">
        <v>343</v>
      </c>
      <c r="Q62" s="11" t="n">
        <v>370</v>
      </c>
      <c r="R62" s="11" t="n">
        <v>1395</v>
      </c>
      <c r="S62" s="11" t="n">
        <v>0</v>
      </c>
      <c r="T62" s="11" t="n">
        <v>0</v>
      </c>
      <c r="U62" s="11" t="n">
        <v>0</v>
      </c>
      <c r="V62" s="11" t="n">
        <v>1102</v>
      </c>
      <c r="W62" s="11" t="n">
        <v>0</v>
      </c>
      <c r="X62" s="11" t="n">
        <v>0</v>
      </c>
      <c r="Y62" s="11" t="n">
        <v>4881</v>
      </c>
      <c r="Z62" s="11" t="n">
        <v>3435</v>
      </c>
      <c r="AA62" s="11" t="n">
        <v>0</v>
      </c>
      <c r="AB62" s="11" t="n">
        <v>0</v>
      </c>
      <c r="AC62" s="11" t="n">
        <v>387</v>
      </c>
      <c r="AD62" s="11" t="n">
        <v>0</v>
      </c>
      <c r="AE62" s="11" t="n">
        <v>0</v>
      </c>
      <c r="AF62" s="11" t="n">
        <v>14</v>
      </c>
      <c r="AG62" s="11" t="n">
        <v>0</v>
      </c>
      <c r="AH62" s="11" t="n">
        <v>3354</v>
      </c>
      <c r="AI62" s="11" t="n">
        <v>13173</v>
      </c>
      <c r="AJ62" s="11" t="n">
        <v>1028</v>
      </c>
      <c r="AK62" s="11" t="n">
        <v>38</v>
      </c>
      <c r="AL62" s="11" t="n">
        <v>1066</v>
      </c>
      <c r="AM62" s="11" t="n">
        <v>14239</v>
      </c>
      <c r="AN62" s="11" t="n">
        <v>1032</v>
      </c>
      <c r="AO62" s="11" t="n">
        <v>1</v>
      </c>
      <c r="AP62" s="11" t="n">
        <v>0</v>
      </c>
      <c r="AQ62" s="11" t="n">
        <v>0</v>
      </c>
      <c r="AR62" s="11" t="n">
        <v>0</v>
      </c>
      <c r="AS62" s="11" t="n">
        <v>1033</v>
      </c>
      <c r="AT62" s="11" t="n">
        <v>72</v>
      </c>
      <c r="AU62" s="11" t="n">
        <v>0</v>
      </c>
      <c r="AV62" s="11" t="n">
        <v>18</v>
      </c>
      <c r="AW62" s="11" t="n">
        <v>31</v>
      </c>
      <c r="AX62" s="11" t="n">
        <v>0</v>
      </c>
      <c r="AY62" s="11" t="n">
        <v>121</v>
      </c>
      <c r="AZ62" s="11" t="n">
        <v>207</v>
      </c>
      <c r="BA62" s="11" t="n">
        <v>63</v>
      </c>
      <c r="BB62" s="11" t="n">
        <v>46</v>
      </c>
      <c r="BC62" s="11" t="n">
        <v>5</v>
      </c>
      <c r="BD62" s="11" t="n">
        <v>0</v>
      </c>
      <c r="BE62" s="11" t="n">
        <v>321</v>
      </c>
      <c r="BF62" s="11" t="n">
        <v>0</v>
      </c>
      <c r="BG62" s="11" t="n">
        <v>0</v>
      </c>
      <c r="BH62" s="11" t="n">
        <v>334</v>
      </c>
      <c r="BI62" s="11" t="n">
        <v>96</v>
      </c>
      <c r="BJ62" s="11" t="n">
        <v>25</v>
      </c>
      <c r="BK62" s="11" t="n">
        <v>2</v>
      </c>
      <c r="BL62" s="11" t="n">
        <v>1</v>
      </c>
      <c r="BM62" s="11" t="n">
        <v>36</v>
      </c>
      <c r="BN62" s="11" t="n">
        <v>0</v>
      </c>
      <c r="BO62" s="11" t="n">
        <v>0</v>
      </c>
      <c r="BP62" s="11" t="n">
        <v>214</v>
      </c>
      <c r="BQ62" s="11" t="n">
        <v>708</v>
      </c>
      <c r="BR62" s="11" t="n">
        <v>1029</v>
      </c>
      <c r="BS62" s="11" t="n">
        <v>17817</v>
      </c>
    </row>
    <row r="63">
      <c r="A63" s="11" t="n">
        <v>2023</v>
      </c>
      <c r="B63" t="inlineStr">
        <is>
          <t>Nord</t>
        </is>
      </c>
      <c r="C63" t="inlineStr">
        <is>
          <t>Hauts-de-France</t>
        </is>
      </c>
      <c r="D63" t="inlineStr">
        <is>
          <t>59</t>
        </is>
      </c>
      <c r="E63" t="inlineStr">
        <is>
          <t>Nord</t>
        </is>
      </c>
      <c r="F63" t="inlineStr">
        <is>
          <t>A</t>
        </is>
      </c>
      <c r="G63" s="11" t="n">
        <v>2271</v>
      </c>
      <c r="H63" s="11" t="n">
        <v>710</v>
      </c>
      <c r="I63" s="11" t="n">
        <v>5</v>
      </c>
      <c r="J63" s="11" t="n">
        <v>314</v>
      </c>
      <c r="K63" s="11" t="n">
        <v>97</v>
      </c>
      <c r="L63" s="11" t="n">
        <v>15</v>
      </c>
      <c r="M63" s="11" t="n">
        <v>41</v>
      </c>
      <c r="N63" s="11" t="n">
        <v>3108</v>
      </c>
      <c r="O63" s="11" t="n">
        <v>2264</v>
      </c>
      <c r="P63" s="11" t="n">
        <v>860</v>
      </c>
      <c r="Q63" s="11" t="n">
        <v>1344</v>
      </c>
      <c r="R63" s="11" t="n">
        <v>10319</v>
      </c>
      <c r="S63" s="11" t="n">
        <v>4495</v>
      </c>
      <c r="T63" s="11" t="n">
        <v>11319</v>
      </c>
      <c r="U63" s="11" t="n">
        <v>3060</v>
      </c>
      <c r="V63" s="11" t="n">
        <v>20085</v>
      </c>
      <c r="W63" s="11" t="n">
        <v>0</v>
      </c>
      <c r="X63" s="11" t="n">
        <v>3320</v>
      </c>
      <c r="Y63" s="11" t="n">
        <v>32355</v>
      </c>
      <c r="Z63" s="11" t="n">
        <v>5266</v>
      </c>
      <c r="AA63" s="11" t="n">
        <v>0</v>
      </c>
      <c r="AB63" s="11" t="n">
        <v>26324</v>
      </c>
      <c r="AC63" s="11" t="n">
        <v>3167</v>
      </c>
      <c r="AD63" s="11" t="n">
        <v>53</v>
      </c>
      <c r="AE63" s="11" t="n">
        <v>16</v>
      </c>
      <c r="AF63" s="11" t="n">
        <v>296</v>
      </c>
      <c r="AG63" s="11" t="n">
        <v>278</v>
      </c>
      <c r="AH63" s="11" t="n">
        <v>2258</v>
      </c>
      <c r="AI63" s="11" t="n">
        <v>112014</v>
      </c>
      <c r="AJ63" s="11" t="n">
        <v>20980</v>
      </c>
      <c r="AK63" s="11" t="n">
        <v>15</v>
      </c>
      <c r="AL63" s="11" t="n">
        <v>20995</v>
      </c>
      <c r="AM63" s="11" t="n">
        <v>133009</v>
      </c>
      <c r="AN63" s="11" t="n">
        <v>8075</v>
      </c>
      <c r="AO63" s="11" t="n">
        <v>26</v>
      </c>
      <c r="AP63" s="11" t="n">
        <v>1</v>
      </c>
      <c r="AQ63" s="11" t="n">
        <v>7</v>
      </c>
      <c r="AR63" s="11" t="n">
        <v>0</v>
      </c>
      <c r="AS63" s="11" t="n">
        <v>8109</v>
      </c>
      <c r="AT63" s="11" t="n">
        <v>1078</v>
      </c>
      <c r="AU63" s="11" t="n">
        <v>1606</v>
      </c>
      <c r="AV63" s="11" t="n">
        <v>688</v>
      </c>
      <c r="AW63" s="11" t="n">
        <v>94</v>
      </c>
      <c r="AX63" s="11" t="n">
        <v>12</v>
      </c>
      <c r="AY63" s="11" t="n">
        <v>3478</v>
      </c>
      <c r="AZ63" s="11" t="n">
        <v>1164</v>
      </c>
      <c r="BA63" s="11" t="n">
        <v>1118</v>
      </c>
      <c r="BB63" s="11" t="n">
        <v>8796</v>
      </c>
      <c r="BC63" s="11" t="n">
        <v>0</v>
      </c>
      <c r="BD63" s="11" t="n">
        <v>0</v>
      </c>
      <c r="BE63" s="11" t="n">
        <v>11078</v>
      </c>
      <c r="BF63" s="11" t="n">
        <v>324</v>
      </c>
      <c r="BG63" s="11" t="n">
        <v>2</v>
      </c>
      <c r="BH63" s="11" t="n">
        <v>801</v>
      </c>
      <c r="BI63" s="11" t="n">
        <v>1085</v>
      </c>
      <c r="BJ63" s="11" t="n">
        <v>0</v>
      </c>
      <c r="BK63" s="11" t="n">
        <v>2</v>
      </c>
      <c r="BL63" s="11" t="n">
        <v>177</v>
      </c>
      <c r="BM63" s="11" t="n">
        <v>2135</v>
      </c>
      <c r="BN63" s="11" t="n">
        <v>0</v>
      </c>
      <c r="BO63" s="11" t="n">
        <v>75</v>
      </c>
      <c r="BP63" s="11" t="n">
        <v>1879</v>
      </c>
      <c r="BQ63" s="11" t="n">
        <v>6478</v>
      </c>
      <c r="BR63" s="11" t="n">
        <v>17556</v>
      </c>
      <c r="BS63" s="11" t="n">
        <v>172471</v>
      </c>
    </row>
    <row r="64">
      <c r="A64" s="11" t="n">
        <v>2023</v>
      </c>
      <c r="B64" t="inlineStr">
        <is>
          <t>Nord</t>
        </is>
      </c>
      <c r="C64" t="inlineStr">
        <is>
          <t>Hauts-de-France</t>
        </is>
      </c>
      <c r="D64" t="inlineStr">
        <is>
          <t>60</t>
        </is>
      </c>
      <c r="E64" t="inlineStr">
        <is>
          <t>Oise</t>
        </is>
      </c>
      <c r="F64" t="inlineStr">
        <is>
          <t>B</t>
        </is>
      </c>
      <c r="G64" s="11" t="n">
        <v>651</v>
      </c>
      <c r="H64" s="11" t="n">
        <v>283</v>
      </c>
      <c r="I64" s="11" t="n">
        <v>10</v>
      </c>
      <c r="J64" s="11" t="n">
        <v>27</v>
      </c>
      <c r="K64" s="11" t="n">
        <v>53</v>
      </c>
      <c r="L64" s="11" t="n">
        <v>0</v>
      </c>
      <c r="M64" s="11" t="n">
        <v>7</v>
      </c>
      <c r="N64" s="11" t="n">
        <v>233</v>
      </c>
      <c r="O64" s="11" t="n">
        <v>856</v>
      </c>
      <c r="P64" s="11" t="n">
        <v>394</v>
      </c>
      <c r="Q64" s="11" t="n">
        <v>1348</v>
      </c>
      <c r="R64" s="11" t="n">
        <v>3579</v>
      </c>
      <c r="S64" s="11" t="n">
        <v>331</v>
      </c>
      <c r="T64" s="11" t="n">
        <v>8337</v>
      </c>
      <c r="U64" s="11" t="n">
        <v>34</v>
      </c>
      <c r="V64" s="11" t="n">
        <v>5177</v>
      </c>
      <c r="W64" s="11" t="n">
        <v>0</v>
      </c>
      <c r="X64" s="11" t="n">
        <v>353</v>
      </c>
      <c r="Y64" s="11" t="n">
        <v>15916</v>
      </c>
      <c r="Z64" s="11" t="n">
        <v>11613</v>
      </c>
      <c r="AA64" s="11" t="n">
        <v>3</v>
      </c>
      <c r="AB64" s="11" t="n">
        <v>5617</v>
      </c>
      <c r="AC64" s="11" t="n">
        <v>1235</v>
      </c>
      <c r="AD64" s="11" t="n">
        <v>19</v>
      </c>
      <c r="AE64" s="11" t="n">
        <v>0</v>
      </c>
      <c r="AF64" s="11" t="n">
        <v>101</v>
      </c>
      <c r="AG64" s="11" t="n">
        <v>89</v>
      </c>
      <c r="AH64" s="11" t="n">
        <v>284</v>
      </c>
      <c r="AI64" s="11" t="n">
        <v>49020</v>
      </c>
      <c r="AJ64" s="11" t="n">
        <v>2014</v>
      </c>
      <c r="AK64" s="11" t="n">
        <v>0</v>
      </c>
      <c r="AL64" s="11" t="n">
        <v>2014</v>
      </c>
      <c r="AM64" s="11" t="n">
        <v>51034</v>
      </c>
      <c r="AN64" s="11" t="n">
        <v>3136</v>
      </c>
      <c r="AO64" s="11" t="n">
        <v>5</v>
      </c>
      <c r="AP64" s="11" t="n">
        <v>5</v>
      </c>
      <c r="AQ64" s="11" t="n">
        <v>2</v>
      </c>
      <c r="AR64" s="11" t="n">
        <v>0</v>
      </c>
      <c r="AS64" s="11" t="n">
        <v>3148</v>
      </c>
      <c r="AT64" s="11" t="n">
        <v>379</v>
      </c>
      <c r="AU64" s="11" t="n">
        <v>173</v>
      </c>
      <c r="AV64" s="11" t="n">
        <v>0</v>
      </c>
      <c r="AW64" s="11" t="n">
        <v>35</v>
      </c>
      <c r="AX64" s="11" t="n">
        <v>0</v>
      </c>
      <c r="AY64" s="11" t="n">
        <v>587</v>
      </c>
      <c r="AZ64" s="11" t="n">
        <v>260</v>
      </c>
      <c r="BA64" s="11" t="n">
        <v>403</v>
      </c>
      <c r="BB64" s="11" t="n">
        <v>124</v>
      </c>
      <c r="BC64" s="11" t="n">
        <v>0</v>
      </c>
      <c r="BD64" s="11" t="n">
        <v>0</v>
      </c>
      <c r="BE64" s="11" t="n">
        <v>787</v>
      </c>
      <c r="BF64" s="11" t="n">
        <v>63</v>
      </c>
      <c r="BG64" s="11" t="n">
        <v>0</v>
      </c>
      <c r="BH64" s="11" t="n">
        <v>409</v>
      </c>
      <c r="BI64" s="11" t="n">
        <v>923</v>
      </c>
      <c r="BJ64" s="11" t="n">
        <v>427</v>
      </c>
      <c r="BK64" s="11" t="n">
        <v>5</v>
      </c>
      <c r="BL64" s="11" t="n">
        <v>8</v>
      </c>
      <c r="BM64" s="11" t="n">
        <v>111</v>
      </c>
      <c r="BN64" s="11" t="n">
        <v>0</v>
      </c>
      <c r="BO64" s="11" t="n">
        <v>18</v>
      </c>
      <c r="BP64" s="11" t="n">
        <v>987</v>
      </c>
      <c r="BQ64" s="11" t="n">
        <v>2951</v>
      </c>
      <c r="BR64" s="11" t="n">
        <v>3738</v>
      </c>
      <c r="BS64" s="11" t="n">
        <v>62086</v>
      </c>
    </row>
    <row r="65">
      <c r="A65" s="11" t="n">
        <v>2023</v>
      </c>
      <c r="B65" t="inlineStr">
        <is>
          <t>Ouest</t>
        </is>
      </c>
      <c r="C65" t="inlineStr">
        <is>
          <t>Normandie</t>
        </is>
      </c>
      <c r="D65" t="inlineStr">
        <is>
          <t>61</t>
        </is>
      </c>
      <c r="E65" t="inlineStr">
        <is>
          <t>Orne</t>
        </is>
      </c>
      <c r="F65" t="inlineStr">
        <is>
          <t>C</t>
        </is>
      </c>
      <c r="G65" s="11" t="n">
        <v>610</v>
      </c>
      <c r="H65" s="11" t="n">
        <v>190</v>
      </c>
      <c r="I65" s="11" t="n">
        <v>18</v>
      </c>
      <c r="J65" s="11" t="n">
        <v>21</v>
      </c>
      <c r="K65" s="11" t="n">
        <v>55</v>
      </c>
      <c r="L65" s="11" t="n">
        <v>11</v>
      </c>
      <c r="M65" s="11" t="n">
        <v>40</v>
      </c>
      <c r="N65" s="11" t="n">
        <v>164</v>
      </c>
      <c r="O65" s="11" t="n">
        <v>234</v>
      </c>
      <c r="P65" s="11" t="n">
        <v>253</v>
      </c>
      <c r="Q65" s="11" t="n">
        <v>234</v>
      </c>
      <c r="R65" s="11" t="n">
        <v>1640</v>
      </c>
      <c r="S65" s="11" t="n">
        <v>285</v>
      </c>
      <c r="T65" s="11" t="n">
        <v>2219</v>
      </c>
      <c r="U65" s="11" t="n">
        <v>128</v>
      </c>
      <c r="V65" s="11" t="n">
        <v>541</v>
      </c>
      <c r="W65" s="11" t="n">
        <v>0</v>
      </c>
      <c r="X65" s="11" t="n">
        <v>300</v>
      </c>
      <c r="Y65" s="11" t="n">
        <v>9481</v>
      </c>
      <c r="Z65" s="11" t="n">
        <v>952</v>
      </c>
      <c r="AA65" s="11" t="n">
        <v>0</v>
      </c>
      <c r="AB65" s="11" t="n">
        <v>1077</v>
      </c>
      <c r="AC65" s="11" t="n">
        <v>554</v>
      </c>
      <c r="AD65" s="11" t="n">
        <v>7</v>
      </c>
      <c r="AE65" s="11" t="n">
        <v>0</v>
      </c>
      <c r="AF65" s="11" t="n">
        <v>180</v>
      </c>
      <c r="AG65" s="11" t="n">
        <v>25</v>
      </c>
      <c r="AH65" s="11" t="n">
        <v>0</v>
      </c>
      <c r="AI65" s="11" t="n">
        <v>15724</v>
      </c>
      <c r="AJ65" s="11" t="n">
        <v>799</v>
      </c>
      <c r="AK65" s="11" t="n">
        <v>3</v>
      </c>
      <c r="AL65" s="11" t="n">
        <v>802</v>
      </c>
      <c r="AM65" s="11" t="n">
        <v>16526</v>
      </c>
      <c r="AN65" s="11" t="n">
        <v>1636</v>
      </c>
      <c r="AO65" s="11" t="n">
        <v>2</v>
      </c>
      <c r="AP65" s="11" t="n">
        <v>0</v>
      </c>
      <c r="AQ65" s="11" t="n">
        <v>0</v>
      </c>
      <c r="AR65" s="11" t="n">
        <v>0</v>
      </c>
      <c r="AS65" s="11" t="n">
        <v>1638</v>
      </c>
      <c r="AT65" s="11" t="n">
        <v>116</v>
      </c>
      <c r="AU65" s="11" t="n">
        <v>0</v>
      </c>
      <c r="AV65" s="11" t="n">
        <v>168</v>
      </c>
      <c r="AW65" s="11" t="n">
        <v>39</v>
      </c>
      <c r="AX65" s="11" t="n">
        <v>32</v>
      </c>
      <c r="AY65" s="11" t="n">
        <v>355</v>
      </c>
      <c r="AZ65" s="11" t="n">
        <v>46</v>
      </c>
      <c r="BA65" s="11" t="n">
        <v>140</v>
      </c>
      <c r="BB65" s="11" t="n">
        <v>150</v>
      </c>
      <c r="BC65" s="11" t="n">
        <v>0</v>
      </c>
      <c r="BD65" s="11" t="n">
        <v>0</v>
      </c>
      <c r="BE65" s="11" t="n">
        <v>336</v>
      </c>
      <c r="BF65" s="11" t="n">
        <v>0</v>
      </c>
      <c r="BG65" s="11" t="n">
        <v>0</v>
      </c>
      <c r="BH65" s="11" t="n">
        <v>180</v>
      </c>
      <c r="BI65" s="11" t="n">
        <v>33</v>
      </c>
      <c r="BJ65" s="11" t="n">
        <v>0</v>
      </c>
      <c r="BK65" s="11" t="n">
        <v>0</v>
      </c>
      <c r="BL65" s="11" t="n">
        <v>4</v>
      </c>
      <c r="BM65" s="11" t="n">
        <v>48</v>
      </c>
      <c r="BN65" s="11" t="n">
        <v>28</v>
      </c>
      <c r="BO65" s="11" t="n">
        <v>0</v>
      </c>
      <c r="BP65" s="11" t="n">
        <v>253</v>
      </c>
      <c r="BQ65" s="11" t="n">
        <v>546</v>
      </c>
      <c r="BR65" s="11" t="n">
        <v>882</v>
      </c>
      <c r="BS65" s="11" t="n">
        <v>21041</v>
      </c>
    </row>
    <row r="66">
      <c r="A66" s="11" t="n">
        <v>2023</v>
      </c>
      <c r="B66" t="inlineStr">
        <is>
          <t>Nord</t>
        </is>
      </c>
      <c r="C66" t="inlineStr">
        <is>
          <t>Hauts-de-France</t>
        </is>
      </c>
      <c r="D66" t="inlineStr">
        <is>
          <t>62</t>
        </is>
      </c>
      <c r="E66" t="inlineStr">
        <is>
          <t>Pas-de-Calais</t>
        </is>
      </c>
      <c r="F66" t="inlineStr">
        <is>
          <t>A</t>
        </is>
      </c>
      <c r="G66" s="11" t="n">
        <v>1798</v>
      </c>
      <c r="H66" s="11" t="n">
        <v>623</v>
      </c>
      <c r="I66" s="11" t="n">
        <v>24</v>
      </c>
      <c r="J66" s="11" t="n">
        <v>143</v>
      </c>
      <c r="K66" s="11" t="n">
        <v>68</v>
      </c>
      <c r="L66" s="11" t="n">
        <v>62</v>
      </c>
      <c r="M66" s="11" t="n">
        <v>61</v>
      </c>
      <c r="N66" s="11" t="n">
        <v>978</v>
      </c>
      <c r="O66" s="11" t="n">
        <v>1246</v>
      </c>
      <c r="P66" s="11" t="n">
        <v>912</v>
      </c>
      <c r="Q66" s="11" t="n">
        <v>1073</v>
      </c>
      <c r="R66" s="11" t="n">
        <v>6365</v>
      </c>
      <c r="S66" s="11" t="n">
        <v>3227</v>
      </c>
      <c r="T66" s="11" t="n">
        <v>17180</v>
      </c>
      <c r="U66" s="11" t="n">
        <v>0</v>
      </c>
      <c r="V66" s="11" t="n">
        <v>14996</v>
      </c>
      <c r="W66" s="11" t="n">
        <v>0</v>
      </c>
      <c r="X66" s="11" t="n">
        <v>1114</v>
      </c>
      <c r="Y66" s="11" t="n">
        <v>32569</v>
      </c>
      <c r="Z66" s="11" t="n">
        <v>13245</v>
      </c>
      <c r="AA66" s="11" t="n">
        <v>0</v>
      </c>
      <c r="AB66" s="11" t="n">
        <v>18467</v>
      </c>
      <c r="AC66" s="11" t="n">
        <v>7521</v>
      </c>
      <c r="AD66" s="11" t="n">
        <v>30</v>
      </c>
      <c r="AE66" s="11" t="n">
        <v>89</v>
      </c>
      <c r="AF66" s="11" t="n">
        <v>3624</v>
      </c>
      <c r="AG66" s="11" t="n">
        <v>65</v>
      </c>
      <c r="AH66" s="11" t="n">
        <v>0</v>
      </c>
      <c r="AI66" s="11" t="n">
        <v>112062</v>
      </c>
      <c r="AJ66" s="11" t="n">
        <v>4244</v>
      </c>
      <c r="AK66" s="11" t="n">
        <v>93</v>
      </c>
      <c r="AL66" s="11" t="n">
        <v>4337</v>
      </c>
      <c r="AM66" s="11" t="n">
        <v>116399</v>
      </c>
      <c r="AN66" s="11" t="n">
        <v>6337</v>
      </c>
      <c r="AO66" s="11" t="n">
        <v>13</v>
      </c>
      <c r="AP66" s="11" t="n">
        <v>4</v>
      </c>
      <c r="AQ66" s="11" t="n">
        <v>10</v>
      </c>
      <c r="AR66" s="11" t="n">
        <v>0</v>
      </c>
      <c r="AS66" s="11" t="n">
        <v>6364</v>
      </c>
      <c r="AT66" s="11" t="n">
        <v>1302</v>
      </c>
      <c r="AU66" s="11" t="n">
        <v>126</v>
      </c>
      <c r="AV66" s="11" t="n">
        <v>778</v>
      </c>
      <c r="AW66" s="11" t="n">
        <v>43</v>
      </c>
      <c r="AX66" s="11" t="n">
        <v>84</v>
      </c>
      <c r="AY66" s="11" t="n">
        <v>2333</v>
      </c>
      <c r="AZ66" s="11" t="n">
        <v>166</v>
      </c>
      <c r="BA66" s="11" t="n">
        <v>2403</v>
      </c>
      <c r="BB66" s="11" t="n">
        <v>4415</v>
      </c>
      <c r="BC66" s="11" t="n">
        <v>0</v>
      </c>
      <c r="BD66" s="11" t="n">
        <v>0</v>
      </c>
      <c r="BE66" s="11" t="n">
        <v>6984</v>
      </c>
      <c r="BF66" s="11" t="n">
        <v>0</v>
      </c>
      <c r="BG66" s="11" t="n">
        <v>0</v>
      </c>
      <c r="BH66" s="11" t="n">
        <v>414</v>
      </c>
      <c r="BI66" s="11" t="n">
        <v>1301</v>
      </c>
      <c r="BJ66" s="11" t="n">
        <v>1289</v>
      </c>
      <c r="BK66" s="11" t="n">
        <v>3</v>
      </c>
      <c r="BL66" s="11" t="n">
        <v>69</v>
      </c>
      <c r="BM66" s="11" t="n">
        <v>0</v>
      </c>
      <c r="BN66" s="11" t="n">
        <v>31</v>
      </c>
      <c r="BO66" s="11" t="n">
        <v>220</v>
      </c>
      <c r="BP66" s="11" t="n">
        <v>297</v>
      </c>
      <c r="BQ66" s="11" t="n">
        <v>3624</v>
      </c>
      <c r="BR66" s="11" t="n">
        <v>10608</v>
      </c>
      <c r="BS66" s="11" t="n">
        <v>142069</v>
      </c>
    </row>
    <row r="67">
      <c r="A67" s="11" t="n">
        <v>2023</v>
      </c>
      <c r="B67" t="inlineStr">
        <is>
          <t>Sud-est</t>
        </is>
      </c>
      <c r="C67" t="inlineStr">
        <is>
          <t>Auvergne-Rh�ne-Alpes</t>
        </is>
      </c>
      <c r="D67" t="inlineStr">
        <is>
          <t>63</t>
        </is>
      </c>
      <c r="E67" t="inlineStr">
        <is>
          <t>Puy-de-D�me</t>
        </is>
      </c>
      <c r="F67" t="inlineStr">
        <is>
          <t>B</t>
        </is>
      </c>
      <c r="G67" s="11" t="n">
        <v>436</v>
      </c>
      <c r="H67" s="11" t="n">
        <v>289</v>
      </c>
      <c r="I67" s="11" t="n">
        <v>9</v>
      </c>
      <c r="J67" s="11" t="n">
        <v>15</v>
      </c>
      <c r="K67" s="11" t="n">
        <v>94</v>
      </c>
      <c r="L67" s="11" t="n">
        <v>0</v>
      </c>
      <c r="M67" s="11" t="n">
        <v>25</v>
      </c>
      <c r="N67" s="11" t="n">
        <v>488</v>
      </c>
      <c r="O67" s="11" t="n">
        <v>532</v>
      </c>
      <c r="P67" s="11" t="n">
        <v>762</v>
      </c>
      <c r="Q67" s="11" t="n">
        <v>213</v>
      </c>
      <c r="R67" s="11" t="n">
        <v>2574</v>
      </c>
      <c r="S67" s="11" t="n">
        <v>595</v>
      </c>
      <c r="T67" s="11" t="n">
        <v>5925</v>
      </c>
      <c r="U67" s="11" t="n">
        <v>1212</v>
      </c>
      <c r="V67" s="11" t="n">
        <v>3907</v>
      </c>
      <c r="W67" s="11" t="n">
        <v>0</v>
      </c>
      <c r="X67" s="11" t="n">
        <v>2184</v>
      </c>
      <c r="Y67" s="11" t="n">
        <v>3751</v>
      </c>
      <c r="Z67" s="11" t="n">
        <v>4210</v>
      </c>
      <c r="AA67" s="11" t="n">
        <v>0</v>
      </c>
      <c r="AB67" s="11" t="n">
        <v>5951</v>
      </c>
      <c r="AC67" s="11" t="n">
        <v>1424</v>
      </c>
      <c r="AD67" s="11" t="n">
        <v>13</v>
      </c>
      <c r="AE67" s="11" t="n">
        <v>0</v>
      </c>
      <c r="AF67" s="11" t="n">
        <v>50</v>
      </c>
      <c r="AG67" s="11" t="n">
        <v>50</v>
      </c>
      <c r="AH67" s="11" t="n">
        <v>2</v>
      </c>
      <c r="AI67" s="11" t="n">
        <v>29224</v>
      </c>
      <c r="AJ67" s="11" t="n">
        <v>8391</v>
      </c>
      <c r="AK67" s="11" t="n">
        <v>6</v>
      </c>
      <c r="AL67" s="11" t="n">
        <v>8397</v>
      </c>
      <c r="AM67" s="11" t="n">
        <v>37621</v>
      </c>
      <c r="AN67" s="11" t="n">
        <v>2665</v>
      </c>
      <c r="AO67" s="11" t="n">
        <v>2</v>
      </c>
      <c r="AP67" s="11" t="n">
        <v>3</v>
      </c>
      <c r="AQ67" s="11" t="n">
        <v>0</v>
      </c>
      <c r="AR67" s="11" t="n">
        <v>0</v>
      </c>
      <c r="AS67" s="11" t="n">
        <v>2670</v>
      </c>
      <c r="AT67" s="11" t="n">
        <v>293</v>
      </c>
      <c r="AU67" s="11" t="n">
        <v>189</v>
      </c>
      <c r="AV67" s="11" t="n">
        <v>0</v>
      </c>
      <c r="AW67" s="11" t="n">
        <v>26</v>
      </c>
      <c r="AX67" s="11" t="n">
        <v>0</v>
      </c>
      <c r="AY67" s="11" t="n">
        <v>508</v>
      </c>
      <c r="AZ67" s="11" t="n">
        <v>0</v>
      </c>
      <c r="BA67" s="11" t="n">
        <v>846</v>
      </c>
      <c r="BB67" s="11" t="n">
        <v>2013</v>
      </c>
      <c r="BC67" s="11" t="n">
        <v>0</v>
      </c>
      <c r="BD67" s="11" t="n">
        <v>0</v>
      </c>
      <c r="BE67" s="11" t="n">
        <v>2859</v>
      </c>
      <c r="BF67" s="11" t="n">
        <v>0</v>
      </c>
      <c r="BG67" s="11" t="n">
        <v>0</v>
      </c>
      <c r="BH67" s="11" t="n">
        <v>238</v>
      </c>
      <c r="BI67" s="11" t="n">
        <v>391</v>
      </c>
      <c r="BJ67" s="11" t="n">
        <v>73</v>
      </c>
      <c r="BK67" s="11" t="n">
        <v>0</v>
      </c>
      <c r="BL67" s="11" t="n">
        <v>7</v>
      </c>
      <c r="BM67" s="11" t="n">
        <v>339</v>
      </c>
      <c r="BN67" s="11" t="n">
        <v>2</v>
      </c>
      <c r="BO67" s="11" t="n">
        <v>2</v>
      </c>
      <c r="BP67" s="11" t="n">
        <v>189</v>
      </c>
      <c r="BQ67" s="11" t="n">
        <v>1241</v>
      </c>
      <c r="BR67" s="11" t="n">
        <v>4100</v>
      </c>
      <c r="BS67" s="11" t="n">
        <v>47473</v>
      </c>
    </row>
    <row r="68">
      <c r="A68" s="11" t="n">
        <v>2023</v>
      </c>
      <c r="B68" t="inlineStr">
        <is>
          <t>Sud-ouest</t>
        </is>
      </c>
      <c r="C68" t="inlineStr">
        <is>
          <t>Nouvelle-Aquitaine</t>
        </is>
      </c>
      <c r="D68" t="inlineStr">
        <is>
          <t>64</t>
        </is>
      </c>
      <c r="E68" t="inlineStr">
        <is>
          <t>Pyr�n�es-Atlantiques</t>
        </is>
      </c>
      <c r="F68" t="inlineStr">
        <is>
          <t>B</t>
        </is>
      </c>
      <c r="G68" s="11" t="n">
        <v>462</v>
      </c>
      <c r="H68" s="11" t="n">
        <v>150</v>
      </c>
      <c r="I68" s="11" t="n">
        <v>6</v>
      </c>
      <c r="J68" s="11" t="n">
        <v>35</v>
      </c>
      <c r="K68" s="11" t="n">
        <v>17</v>
      </c>
      <c r="L68" s="11" t="n">
        <v>14</v>
      </c>
      <c r="M68" s="11" t="n">
        <v>45</v>
      </c>
      <c r="N68" s="11" t="n">
        <v>306</v>
      </c>
      <c r="O68" s="11" t="n">
        <v>298</v>
      </c>
      <c r="P68" s="11" t="n">
        <v>364</v>
      </c>
      <c r="Q68" s="11" t="n">
        <v>675</v>
      </c>
      <c r="R68" s="11" t="n">
        <v>2222</v>
      </c>
      <c r="S68" s="11" t="n">
        <v>457</v>
      </c>
      <c r="T68" s="11" t="n">
        <v>8024</v>
      </c>
      <c r="U68" s="11" t="n">
        <v>255</v>
      </c>
      <c r="V68" s="11" t="n">
        <v>3847</v>
      </c>
      <c r="W68" s="11" t="n">
        <v>244</v>
      </c>
      <c r="X68" s="11" t="n">
        <v>308</v>
      </c>
      <c r="Y68" s="11" t="n">
        <v>7363</v>
      </c>
      <c r="Z68" s="11" t="n">
        <v>613</v>
      </c>
      <c r="AA68" s="11" t="n">
        <v>0</v>
      </c>
      <c r="AB68" s="11" t="n">
        <v>3350</v>
      </c>
      <c r="AC68" s="11" t="n">
        <v>1030</v>
      </c>
      <c r="AD68" s="11" t="n">
        <v>25</v>
      </c>
      <c r="AE68" s="11" t="n">
        <v>76</v>
      </c>
      <c r="AF68" s="11" t="n">
        <v>123</v>
      </c>
      <c r="AG68" s="11" t="n">
        <v>84</v>
      </c>
      <c r="AH68" s="11" t="n">
        <v>2526</v>
      </c>
      <c r="AI68" s="11" t="n">
        <v>28241</v>
      </c>
      <c r="AJ68" s="11" t="n">
        <v>5180</v>
      </c>
      <c r="AK68" s="11" t="n">
        <v>10</v>
      </c>
      <c r="AL68" s="11" t="n">
        <v>5190</v>
      </c>
      <c r="AM68" s="11" t="n">
        <v>33431</v>
      </c>
      <c r="AN68" s="11" t="n">
        <v>3406</v>
      </c>
      <c r="AO68" s="11" t="n">
        <v>0</v>
      </c>
      <c r="AP68" s="11" t="n">
        <v>0</v>
      </c>
      <c r="AQ68" s="11" t="n">
        <v>13</v>
      </c>
      <c r="AR68" s="11" t="n">
        <v>0</v>
      </c>
      <c r="AS68" s="11" t="n">
        <v>3419</v>
      </c>
      <c r="AT68" s="11" t="n">
        <v>339</v>
      </c>
      <c r="AU68" s="11" t="n">
        <v>0</v>
      </c>
      <c r="AV68" s="11" t="n">
        <v>320</v>
      </c>
      <c r="AW68" s="11" t="n">
        <v>13</v>
      </c>
      <c r="AX68" s="11" t="n">
        <v>6</v>
      </c>
      <c r="AY68" s="11" t="n">
        <v>678</v>
      </c>
      <c r="AZ68" s="11" t="n">
        <v>306</v>
      </c>
      <c r="BA68" s="11" t="n">
        <v>936</v>
      </c>
      <c r="BB68" s="11" t="n">
        <v>304</v>
      </c>
      <c r="BC68" s="11" t="n">
        <v>0</v>
      </c>
      <c r="BD68" s="11" t="n">
        <v>3</v>
      </c>
      <c r="BE68" s="11" t="n">
        <v>1549</v>
      </c>
      <c r="BF68" s="11" t="n">
        <v>0</v>
      </c>
      <c r="BG68" s="11" t="n">
        <v>0</v>
      </c>
      <c r="BH68" s="11" t="n">
        <v>469</v>
      </c>
      <c r="BI68" s="11" t="n">
        <v>7</v>
      </c>
      <c r="BJ68" s="11" t="n">
        <v>0</v>
      </c>
      <c r="BK68" s="11" t="n">
        <v>78</v>
      </c>
      <c r="BL68" s="11" t="n">
        <v>3</v>
      </c>
      <c r="BM68" s="11" t="n">
        <v>92</v>
      </c>
      <c r="BN68" s="11" t="n">
        <v>19</v>
      </c>
      <c r="BO68" s="11" t="n">
        <v>10</v>
      </c>
      <c r="BP68" s="11" t="n">
        <v>1087</v>
      </c>
      <c r="BQ68" s="11" t="n">
        <v>1765</v>
      </c>
      <c r="BR68" s="11" t="n">
        <v>3314</v>
      </c>
      <c r="BS68" s="11" t="n">
        <v>43064</v>
      </c>
    </row>
    <row r="69">
      <c r="A69" s="11" t="n">
        <v>2023</v>
      </c>
      <c r="B69" t="inlineStr">
        <is>
          <t>Sud</t>
        </is>
      </c>
      <c r="C69" t="inlineStr">
        <is>
          <t>Occitanie</t>
        </is>
      </c>
      <c r="D69" t="inlineStr">
        <is>
          <t>65</t>
        </is>
      </c>
      <c r="E69" t="inlineStr">
        <is>
          <t>Hautes-Pyr�n�es</t>
        </is>
      </c>
      <c r="F69" t="inlineStr">
        <is>
          <t>C</t>
        </is>
      </c>
      <c r="G69" s="11" t="n">
        <v>234</v>
      </c>
      <c r="H69" s="11" t="n">
        <v>119</v>
      </c>
      <c r="I69" s="11" t="n">
        <v>8</v>
      </c>
      <c r="J69" s="11" t="n">
        <v>9</v>
      </c>
      <c r="K69" s="11" t="n">
        <v>17</v>
      </c>
      <c r="L69" s="11" t="n">
        <v>7</v>
      </c>
      <c r="M69" s="11" t="n">
        <v>7</v>
      </c>
      <c r="N69" s="11" t="n">
        <v>97</v>
      </c>
      <c r="O69" s="11" t="n">
        <v>138</v>
      </c>
      <c r="P69" s="11" t="n">
        <v>239</v>
      </c>
      <c r="Q69" s="11" t="n">
        <v>112</v>
      </c>
      <c r="R69" s="11" t="n">
        <v>868</v>
      </c>
      <c r="S69" s="11" t="n">
        <v>189</v>
      </c>
      <c r="T69" s="11" t="n">
        <v>1144</v>
      </c>
      <c r="U69" s="11" t="n">
        <v>346</v>
      </c>
      <c r="V69" s="11" t="n">
        <v>1630</v>
      </c>
      <c r="W69" s="11" t="n">
        <v>0</v>
      </c>
      <c r="X69" s="11" t="n">
        <v>194</v>
      </c>
      <c r="Y69" s="11" t="n">
        <v>503</v>
      </c>
      <c r="Z69" s="11" t="n">
        <v>3771</v>
      </c>
      <c r="AA69" s="11" t="n">
        <v>20</v>
      </c>
      <c r="AB69" s="11" t="n">
        <v>2951</v>
      </c>
      <c r="AC69" s="11" t="n">
        <v>268</v>
      </c>
      <c r="AD69" s="11" t="n">
        <v>16</v>
      </c>
      <c r="AE69" s="11" t="n">
        <v>0</v>
      </c>
      <c r="AF69" s="11" t="n">
        <v>27</v>
      </c>
      <c r="AG69" s="11" t="n">
        <v>0</v>
      </c>
      <c r="AH69" s="11" t="n">
        <v>1637</v>
      </c>
      <c r="AI69" s="11" t="n">
        <v>12696</v>
      </c>
      <c r="AJ69" s="11" t="n">
        <v>817</v>
      </c>
      <c r="AK69" s="11" t="n">
        <v>4</v>
      </c>
      <c r="AL69" s="11" t="n">
        <v>821</v>
      </c>
      <c r="AM69" s="11" t="n">
        <v>13517</v>
      </c>
      <c r="AN69" s="11" t="n">
        <v>1138</v>
      </c>
      <c r="AO69" s="11" t="n">
        <v>1</v>
      </c>
      <c r="AP69" s="11" t="n">
        <v>9</v>
      </c>
      <c r="AQ69" s="11" t="n">
        <v>0</v>
      </c>
      <c r="AR69" s="11" t="n">
        <v>0</v>
      </c>
      <c r="AS69" s="11" t="n">
        <v>1148</v>
      </c>
      <c r="AT69" s="11" t="n">
        <v>93</v>
      </c>
      <c r="AU69" s="11" t="n">
        <v>89</v>
      </c>
      <c r="AV69" s="11" t="n">
        <v>46</v>
      </c>
      <c r="AW69" s="11" t="n">
        <v>5</v>
      </c>
      <c r="AX69" s="11" t="n">
        <v>0</v>
      </c>
      <c r="AY69" s="11" t="n">
        <v>233</v>
      </c>
      <c r="AZ69" s="11" t="n">
        <v>3</v>
      </c>
      <c r="BA69" s="11" t="n">
        <v>315</v>
      </c>
      <c r="BB69" s="11" t="n">
        <v>221</v>
      </c>
      <c r="BC69" s="11" t="n">
        <v>0</v>
      </c>
      <c r="BD69" s="11" t="n">
        <v>0</v>
      </c>
      <c r="BE69" s="11" t="n">
        <v>539</v>
      </c>
      <c r="BF69" s="11" t="n">
        <v>116</v>
      </c>
      <c r="BG69" s="11" t="n">
        <v>116</v>
      </c>
      <c r="BH69" s="11" t="n">
        <v>238</v>
      </c>
      <c r="BI69" s="11" t="n">
        <v>81</v>
      </c>
      <c r="BJ69" s="11" t="n">
        <v>3</v>
      </c>
      <c r="BK69" s="11" t="n">
        <v>0</v>
      </c>
      <c r="BL69" s="11" t="n">
        <v>4</v>
      </c>
      <c r="BM69" s="11" t="n">
        <v>58</v>
      </c>
      <c r="BN69" s="11" t="n">
        <v>8</v>
      </c>
      <c r="BO69" s="11" t="n">
        <v>4</v>
      </c>
      <c r="BP69" s="11" t="n">
        <v>31</v>
      </c>
      <c r="BQ69" s="11" t="n">
        <v>543</v>
      </c>
      <c r="BR69" s="11" t="n">
        <v>1082</v>
      </c>
      <c r="BS69" s="11" t="n">
        <v>16848</v>
      </c>
    </row>
    <row r="70">
      <c r="A70" s="11" t="n">
        <v>2023</v>
      </c>
      <c r="B70" t="inlineStr">
        <is>
          <t>Sud</t>
        </is>
      </c>
      <c r="C70" t="inlineStr">
        <is>
          <t>Occitanie</t>
        </is>
      </c>
      <c r="D70" t="inlineStr">
        <is>
          <t>66</t>
        </is>
      </c>
      <c r="E70" t="inlineStr">
        <is>
          <t>Pyr�n�es-Orientales</t>
        </is>
      </c>
      <c r="F70" t="inlineStr">
        <is>
          <t>B</t>
        </is>
      </c>
      <c r="G70" s="11" t="n">
        <v>518</v>
      </c>
      <c r="H70" s="11" t="n">
        <v>115</v>
      </c>
      <c r="I70" s="11" t="n">
        <v>31</v>
      </c>
      <c r="J70" s="11" t="n">
        <v>19</v>
      </c>
      <c r="K70" s="11" t="n">
        <v>19</v>
      </c>
      <c r="L70" s="11" t="n">
        <v>1</v>
      </c>
      <c r="M70" s="11" t="n">
        <v>8</v>
      </c>
      <c r="N70" s="11" t="n">
        <v>516</v>
      </c>
      <c r="O70" s="11" t="n">
        <v>467</v>
      </c>
      <c r="P70" s="11" t="n">
        <v>1368</v>
      </c>
      <c r="Q70" s="11" t="n">
        <v>333</v>
      </c>
      <c r="R70" s="11" t="n">
        <v>3280</v>
      </c>
      <c r="S70" s="11" t="n">
        <v>149</v>
      </c>
      <c r="T70" s="11" t="n">
        <v>2871</v>
      </c>
      <c r="U70" s="11" t="n">
        <v>232</v>
      </c>
      <c r="V70" s="11" t="n">
        <v>3121</v>
      </c>
      <c r="W70" s="11" t="n">
        <v>51</v>
      </c>
      <c r="X70" s="11" t="n">
        <v>51</v>
      </c>
      <c r="Y70" s="11" t="n">
        <v>9827</v>
      </c>
      <c r="Z70" s="11" t="n">
        <v>3070</v>
      </c>
      <c r="AA70" s="11" t="n">
        <v>35</v>
      </c>
      <c r="AB70" s="11" t="n">
        <v>3780</v>
      </c>
      <c r="AC70" s="11" t="n">
        <v>580</v>
      </c>
      <c r="AD70" s="11" t="n">
        <v>53</v>
      </c>
      <c r="AE70" s="11" t="n">
        <v>61</v>
      </c>
      <c r="AF70" s="11" t="n">
        <v>21</v>
      </c>
      <c r="AG70" s="11" t="n">
        <v>15</v>
      </c>
      <c r="AH70" s="11" t="n">
        <v>5</v>
      </c>
      <c r="AI70" s="11" t="n">
        <v>23907</v>
      </c>
      <c r="AJ70" s="11" t="n">
        <v>4203</v>
      </c>
      <c r="AK70" s="11" t="n">
        <v>50</v>
      </c>
      <c r="AL70" s="11" t="n">
        <v>4253</v>
      </c>
      <c r="AM70" s="11" t="n">
        <v>28160</v>
      </c>
      <c r="AN70" s="11" t="n">
        <v>2647</v>
      </c>
      <c r="AO70" s="11" t="n">
        <v>2</v>
      </c>
      <c r="AP70" s="11" t="n">
        <v>4</v>
      </c>
      <c r="AQ70" s="11" t="n">
        <v>3</v>
      </c>
      <c r="AR70" s="11" t="n">
        <v>0</v>
      </c>
      <c r="AS70" s="11" t="n">
        <v>2656</v>
      </c>
      <c r="AT70" s="11" t="n">
        <v>222</v>
      </c>
      <c r="AU70" s="11" t="n">
        <v>19</v>
      </c>
      <c r="AV70" s="11" t="n">
        <v>104</v>
      </c>
      <c r="AW70" s="11" t="n">
        <v>46</v>
      </c>
      <c r="AX70" s="11" t="n">
        <v>37</v>
      </c>
      <c r="AY70" s="11" t="n">
        <v>428</v>
      </c>
      <c r="AZ70" s="11" t="n">
        <v>186</v>
      </c>
      <c r="BA70" s="11" t="n">
        <v>148</v>
      </c>
      <c r="BB70" s="11" t="n">
        <v>498</v>
      </c>
      <c r="BC70" s="11" t="n">
        <v>0</v>
      </c>
      <c r="BD70" s="11" t="n">
        <v>0</v>
      </c>
      <c r="BE70" s="11" t="n">
        <v>832</v>
      </c>
      <c r="BF70" s="11" t="n">
        <v>194</v>
      </c>
      <c r="BG70" s="11" t="n">
        <v>70</v>
      </c>
      <c r="BH70" s="11" t="n">
        <v>304</v>
      </c>
      <c r="BI70" s="11" t="n">
        <v>126</v>
      </c>
      <c r="BJ70" s="11" t="n">
        <v>7</v>
      </c>
      <c r="BK70" s="11" t="n">
        <v>1</v>
      </c>
      <c r="BL70" s="11" t="n">
        <v>19</v>
      </c>
      <c r="BM70" s="11" t="n">
        <v>151</v>
      </c>
      <c r="BN70" s="11" t="n">
        <v>0</v>
      </c>
      <c r="BO70" s="11" t="n">
        <v>0</v>
      </c>
      <c r="BP70" s="11" t="n">
        <v>302</v>
      </c>
      <c r="BQ70" s="11" t="n">
        <v>1104</v>
      </c>
      <c r="BR70" s="11" t="n">
        <v>1936</v>
      </c>
      <c r="BS70" s="11" t="n">
        <v>36460</v>
      </c>
    </row>
    <row r="71">
      <c r="A71" s="11" t="n">
        <v>2023</v>
      </c>
      <c r="B71" t="inlineStr">
        <is>
          <t>Est</t>
        </is>
      </c>
      <c r="C71" t="inlineStr">
        <is>
          <t>Grand Est</t>
        </is>
      </c>
      <c r="D71" t="inlineStr">
        <is>
          <t>67</t>
        </is>
      </c>
      <c r="E71" t="inlineStr">
        <is>
          <t>Bas-Rhin</t>
        </is>
      </c>
      <c r="F71" t="inlineStr">
        <is>
          <t>A</t>
        </is>
      </c>
      <c r="G71" s="11" t="n">
        <v>1306</v>
      </c>
      <c r="H71" s="11" t="n">
        <v>309</v>
      </c>
      <c r="I71" s="11" t="n">
        <v>42</v>
      </c>
      <c r="J71" s="11" t="n">
        <v>106</v>
      </c>
      <c r="K71" s="11" t="n">
        <v>80</v>
      </c>
      <c r="L71" s="11" t="n">
        <v>1</v>
      </c>
      <c r="M71" s="11" t="n">
        <v>22</v>
      </c>
      <c r="N71" s="11" t="n">
        <v>1084</v>
      </c>
      <c r="O71" s="11" t="n">
        <v>722</v>
      </c>
      <c r="P71" s="11" t="n">
        <v>648</v>
      </c>
      <c r="Q71" s="11" t="n">
        <v>436</v>
      </c>
      <c r="R71" s="11" t="n">
        <v>4447</v>
      </c>
      <c r="S71" s="11" t="n">
        <v>1351</v>
      </c>
      <c r="T71" s="11" t="n">
        <v>1236</v>
      </c>
      <c r="U71" s="11" t="n">
        <v>1176</v>
      </c>
      <c r="V71" s="11" t="n">
        <v>5241</v>
      </c>
      <c r="W71" s="11" t="n">
        <v>16</v>
      </c>
      <c r="X71" s="11" t="n">
        <v>2158</v>
      </c>
      <c r="Y71" s="11" t="n">
        <v>11303</v>
      </c>
      <c r="Z71" s="11" t="n">
        <v>8387</v>
      </c>
      <c r="AA71" s="11" t="n">
        <v>143</v>
      </c>
      <c r="AB71" s="11" t="n">
        <v>10332</v>
      </c>
      <c r="AC71" s="11" t="n">
        <v>366</v>
      </c>
      <c r="AD71" s="11" t="n">
        <v>27</v>
      </c>
      <c r="AE71" s="11" t="n">
        <v>0</v>
      </c>
      <c r="AF71" s="11" t="n">
        <v>301</v>
      </c>
      <c r="AG71" s="11" t="n">
        <v>77</v>
      </c>
      <c r="AH71" s="11" t="n">
        <v>2185</v>
      </c>
      <c r="AI71" s="11" t="n">
        <v>44222</v>
      </c>
      <c r="AJ71" s="11" t="n">
        <v>1287</v>
      </c>
      <c r="AK71" s="11" t="n">
        <v>71</v>
      </c>
      <c r="AL71" s="11" t="n">
        <v>1358</v>
      </c>
      <c r="AM71" s="11" t="n">
        <v>45580</v>
      </c>
      <c r="AN71" s="11" t="n">
        <v>2475</v>
      </c>
      <c r="AO71" s="11" t="n">
        <v>10</v>
      </c>
      <c r="AP71" s="11" t="n">
        <v>0</v>
      </c>
      <c r="AQ71" s="11" t="n">
        <v>1</v>
      </c>
      <c r="AR71" s="11" t="n">
        <v>0</v>
      </c>
      <c r="AS71" s="11" t="n">
        <v>2486</v>
      </c>
      <c r="AT71" s="11" t="n">
        <v>451</v>
      </c>
      <c r="AU71" s="11" t="n">
        <v>150</v>
      </c>
      <c r="AV71" s="11" t="n">
        <v>4</v>
      </c>
      <c r="AW71" s="11" t="n">
        <v>55</v>
      </c>
      <c r="AX71" s="11" t="n">
        <v>38</v>
      </c>
      <c r="AY71" s="11" t="n">
        <v>698</v>
      </c>
      <c r="AZ71" s="11" t="n">
        <v>798</v>
      </c>
      <c r="BA71" s="11" t="n">
        <v>91</v>
      </c>
      <c r="BB71" s="11" t="n">
        <v>1112</v>
      </c>
      <c r="BC71" s="11" t="n">
        <v>30</v>
      </c>
      <c r="BD71" s="11" t="n">
        <v>13</v>
      </c>
      <c r="BE71" s="11" t="n">
        <v>2044</v>
      </c>
      <c r="BF71" s="11" t="n">
        <v>172</v>
      </c>
      <c r="BG71" s="11" t="n">
        <v>132</v>
      </c>
      <c r="BH71" s="11" t="n">
        <v>704</v>
      </c>
      <c r="BI71" s="11" t="n">
        <v>104</v>
      </c>
      <c r="BJ71" s="11" t="n">
        <v>462</v>
      </c>
      <c r="BK71" s="11" t="n">
        <v>26</v>
      </c>
      <c r="BL71" s="11" t="n">
        <v>20</v>
      </c>
      <c r="BM71" s="11" t="n">
        <v>47</v>
      </c>
      <c r="BN71" s="11" t="n">
        <v>1</v>
      </c>
      <c r="BO71" s="11" t="n">
        <v>2</v>
      </c>
      <c r="BP71" s="11" t="n">
        <v>337</v>
      </c>
      <c r="BQ71" s="11" t="n">
        <v>1875</v>
      </c>
      <c r="BR71" s="11" t="n">
        <v>3919</v>
      </c>
      <c r="BS71" s="11" t="n">
        <v>57130</v>
      </c>
    </row>
    <row r="72">
      <c r="A72" s="11" t="n">
        <v>2023</v>
      </c>
      <c r="B72" t="inlineStr">
        <is>
          <t>Est</t>
        </is>
      </c>
      <c r="C72" t="inlineStr">
        <is>
          <t>Grand Est</t>
        </is>
      </c>
      <c r="D72" t="inlineStr">
        <is>
          <t>68</t>
        </is>
      </c>
      <c r="E72" t="inlineStr">
        <is>
          <t>Haut-Rhin</t>
        </is>
      </c>
      <c r="F72" t="inlineStr">
        <is>
          <t>B</t>
        </is>
      </c>
      <c r="G72" s="11" t="n">
        <v>749</v>
      </c>
      <c r="H72" s="11" t="n">
        <v>249</v>
      </c>
      <c r="I72" s="11" t="n">
        <v>33</v>
      </c>
      <c r="J72" s="11" t="n">
        <v>26</v>
      </c>
      <c r="K72" s="11" t="n">
        <v>23</v>
      </c>
      <c r="L72" s="11" t="n">
        <v>5</v>
      </c>
      <c r="M72" s="11" t="n">
        <v>4</v>
      </c>
      <c r="N72" s="11" t="n">
        <v>992</v>
      </c>
      <c r="O72" s="11" t="n">
        <v>524</v>
      </c>
      <c r="P72" s="11" t="n">
        <v>442</v>
      </c>
      <c r="Q72" s="11" t="n">
        <v>569</v>
      </c>
      <c r="R72" s="11" t="n">
        <v>3367</v>
      </c>
      <c r="S72" s="11" t="n">
        <v>0</v>
      </c>
      <c r="T72" s="11" t="n">
        <v>0</v>
      </c>
      <c r="U72" s="11" t="n">
        <v>429</v>
      </c>
      <c r="V72" s="11" t="n">
        <v>105</v>
      </c>
      <c r="W72" s="11" t="n">
        <v>239</v>
      </c>
      <c r="X72" s="11" t="n">
        <v>1</v>
      </c>
      <c r="Y72" s="11" t="n">
        <v>16344</v>
      </c>
      <c r="Z72" s="11" t="n">
        <v>1292</v>
      </c>
      <c r="AA72" s="11" t="n">
        <v>27</v>
      </c>
      <c r="AB72" s="11" t="n">
        <v>1204</v>
      </c>
      <c r="AC72" s="11" t="n">
        <v>691</v>
      </c>
      <c r="AD72" s="11" t="n">
        <v>33</v>
      </c>
      <c r="AE72" s="11" t="n">
        <v>0</v>
      </c>
      <c r="AF72" s="11" t="n">
        <v>92</v>
      </c>
      <c r="AG72" s="11" t="n">
        <v>82</v>
      </c>
      <c r="AH72" s="11" t="n">
        <v>8068</v>
      </c>
      <c r="AI72" s="11" t="n">
        <v>28525</v>
      </c>
      <c r="AJ72" s="11" t="n">
        <v>4073</v>
      </c>
      <c r="AK72" s="11" t="n">
        <v>97</v>
      </c>
      <c r="AL72" s="11" t="n">
        <v>4170</v>
      </c>
      <c r="AM72" s="11" t="n">
        <v>32695</v>
      </c>
      <c r="AN72" s="11" t="n">
        <v>3325</v>
      </c>
      <c r="AO72" s="11" t="n">
        <v>15</v>
      </c>
      <c r="AP72" s="11" t="n">
        <v>1</v>
      </c>
      <c r="AQ72" s="11" t="n">
        <v>1</v>
      </c>
      <c r="AR72" s="11" t="n">
        <v>0</v>
      </c>
      <c r="AS72" s="11" t="n">
        <v>3342</v>
      </c>
      <c r="AT72" s="11" t="n">
        <v>317</v>
      </c>
      <c r="AU72" s="11" t="n">
        <v>167</v>
      </c>
      <c r="AV72" s="11" t="n">
        <v>2</v>
      </c>
      <c r="AW72" s="11" t="n">
        <v>50</v>
      </c>
      <c r="AX72" s="11" t="n">
        <v>34</v>
      </c>
      <c r="AY72" s="11" t="n">
        <v>570</v>
      </c>
      <c r="AZ72" s="11" t="n">
        <v>818</v>
      </c>
      <c r="BA72" s="11" t="n">
        <v>195</v>
      </c>
      <c r="BB72" s="11" t="n">
        <v>217</v>
      </c>
      <c r="BC72" s="11" t="n">
        <v>0</v>
      </c>
      <c r="BD72" s="11" t="n">
        <v>0</v>
      </c>
      <c r="BE72" s="11" t="n">
        <v>1230</v>
      </c>
      <c r="BF72" s="11" t="n">
        <v>2401</v>
      </c>
      <c r="BG72" s="11" t="n">
        <v>0</v>
      </c>
      <c r="BH72" s="11" t="n">
        <v>562</v>
      </c>
      <c r="BI72" s="11" t="n">
        <v>2389</v>
      </c>
      <c r="BJ72" s="11" t="n">
        <v>268</v>
      </c>
      <c r="BK72" s="11" t="n">
        <v>49</v>
      </c>
      <c r="BL72" s="11" t="n">
        <v>8</v>
      </c>
      <c r="BM72" s="11" t="n">
        <v>169</v>
      </c>
      <c r="BN72" s="11" t="n">
        <v>0</v>
      </c>
      <c r="BO72" s="11" t="n">
        <v>0</v>
      </c>
      <c r="BP72" s="11" t="n">
        <v>804</v>
      </c>
      <c r="BQ72" s="11" t="n">
        <v>6650</v>
      </c>
      <c r="BR72" s="11" t="n">
        <v>7880</v>
      </c>
      <c r="BS72" s="11" t="n">
        <v>47854</v>
      </c>
    </row>
    <row r="73">
      <c r="A73" s="11" t="n">
        <v>2023</v>
      </c>
      <c r="B73" t="inlineStr">
        <is>
          <t>Sud-est</t>
        </is>
      </c>
      <c r="C73" t="inlineStr">
        <is>
          <t>Auvergne-Rh�ne-Alpes</t>
        </is>
      </c>
      <c r="D73" t="inlineStr">
        <is>
          <t>69</t>
        </is>
      </c>
      <c r="E73" t="inlineStr">
        <is>
          <t>Rh�ne</t>
        </is>
      </c>
      <c r="F73" t="inlineStr">
        <is>
          <t>A</t>
        </is>
      </c>
      <c r="G73" s="11" t="n">
        <v>529</v>
      </c>
      <c r="H73" s="11" t="n">
        <v>148</v>
      </c>
      <c r="I73" s="11" t="n">
        <v>165</v>
      </c>
      <c r="J73" s="11" t="n">
        <v>118</v>
      </c>
      <c r="K73" s="11" t="n">
        <v>189</v>
      </c>
      <c r="L73" s="11" t="n">
        <v>0</v>
      </c>
      <c r="M73" s="11" t="n">
        <v>0</v>
      </c>
      <c r="N73" s="11" t="n">
        <v>1976</v>
      </c>
      <c r="O73" s="11" t="n">
        <v>1697</v>
      </c>
      <c r="P73" s="11" t="n">
        <v>579</v>
      </c>
      <c r="Q73" s="11" t="n">
        <v>1413</v>
      </c>
      <c r="R73" s="11" t="n">
        <v>6666</v>
      </c>
      <c r="S73" s="11" t="n">
        <v>631</v>
      </c>
      <c r="T73" s="11" t="n">
        <v>3358</v>
      </c>
      <c r="U73" s="11" t="n">
        <v>0</v>
      </c>
      <c r="V73" s="11" t="n">
        <v>3567</v>
      </c>
      <c r="W73" s="11" t="n">
        <v>0</v>
      </c>
      <c r="X73" s="11" t="n">
        <v>2836</v>
      </c>
      <c r="Y73" s="11" t="n">
        <v>36142</v>
      </c>
      <c r="Z73" s="11" t="n">
        <v>3729</v>
      </c>
      <c r="AA73" s="11" t="n">
        <v>0</v>
      </c>
      <c r="AB73" s="11" t="n">
        <v>25305</v>
      </c>
      <c r="AC73" s="11" t="n">
        <v>3970</v>
      </c>
      <c r="AD73" s="11" t="n">
        <v>110</v>
      </c>
      <c r="AE73" s="11" t="n">
        <v>0</v>
      </c>
      <c r="AF73" s="11" t="n">
        <v>207</v>
      </c>
      <c r="AG73" s="11" t="n">
        <v>0</v>
      </c>
      <c r="AH73" s="11" t="n">
        <v>4</v>
      </c>
      <c r="AI73" s="11" t="n">
        <v>79859</v>
      </c>
      <c r="AJ73" s="11" t="n">
        <v>15368</v>
      </c>
      <c r="AK73" s="11" t="n">
        <v>95</v>
      </c>
      <c r="AL73" s="11" t="n">
        <v>15463</v>
      </c>
      <c r="AM73" s="11" t="n">
        <v>95322</v>
      </c>
      <c r="AN73" s="11" t="n">
        <v>7690</v>
      </c>
      <c r="AO73" s="11" t="n">
        <v>12</v>
      </c>
      <c r="AP73" s="11" t="n">
        <v>20</v>
      </c>
      <c r="AQ73" s="11" t="n">
        <v>3</v>
      </c>
      <c r="AR73" s="11" t="n">
        <v>0</v>
      </c>
      <c r="AS73" s="11" t="n">
        <v>7725</v>
      </c>
      <c r="AT73" s="11" t="n">
        <v>1186</v>
      </c>
      <c r="AU73" s="11" t="n">
        <v>13</v>
      </c>
      <c r="AV73" s="11" t="n">
        <v>0</v>
      </c>
      <c r="AW73" s="11" t="n">
        <v>25</v>
      </c>
      <c r="AX73" s="11" t="n">
        <v>6</v>
      </c>
      <c r="AY73" s="11" t="n">
        <v>1230</v>
      </c>
      <c r="AZ73" s="11" t="n">
        <v>128</v>
      </c>
      <c r="BA73" s="11" t="n">
        <v>1728</v>
      </c>
      <c r="BB73" s="11" t="n">
        <v>441</v>
      </c>
      <c r="BC73" s="11" t="n">
        <v>16</v>
      </c>
      <c r="BD73" s="11" t="n">
        <v>0</v>
      </c>
      <c r="BE73" s="11" t="n">
        <v>2313</v>
      </c>
      <c r="BF73" s="11" t="n">
        <v>0</v>
      </c>
      <c r="BG73" s="11" t="n">
        <v>0</v>
      </c>
      <c r="BH73" s="11" t="n">
        <v>248</v>
      </c>
      <c r="BI73" s="11" t="n">
        <v>1020</v>
      </c>
      <c r="BJ73" s="11" t="n">
        <v>799</v>
      </c>
      <c r="BK73" s="11" t="n">
        <v>0</v>
      </c>
      <c r="BL73" s="11" t="n">
        <v>2</v>
      </c>
      <c r="BM73" s="11" t="n">
        <v>0</v>
      </c>
      <c r="BN73" s="11" t="n">
        <v>0</v>
      </c>
      <c r="BO73" s="11" t="n">
        <v>0</v>
      </c>
      <c r="BP73" s="11" t="n">
        <v>1714</v>
      </c>
      <c r="BQ73" s="11" t="n">
        <v>3783</v>
      </c>
      <c r="BR73" s="11" t="n">
        <v>6096</v>
      </c>
      <c r="BS73" s="11" t="n">
        <v>117039</v>
      </c>
    </row>
    <row r="74">
      <c r="A74" s="11" t="n">
        <v>2023</v>
      </c>
      <c r="B74" t="inlineStr">
        <is>
          <t>Est</t>
        </is>
      </c>
      <c r="C74" t="inlineStr">
        <is>
          <t>Bourgogne-Franche-Comt�</t>
        </is>
      </c>
      <c r="D74" t="inlineStr">
        <is>
          <t>70</t>
        </is>
      </c>
      <c r="E74" t="inlineStr">
        <is>
          <t>Haute-Sa�ne</t>
        </is>
      </c>
      <c r="F74" t="inlineStr">
        <is>
          <t>C</t>
        </is>
      </c>
      <c r="G74" s="11" t="n">
        <v>575</v>
      </c>
      <c r="H74" s="11" t="n">
        <v>324</v>
      </c>
      <c r="I74" s="11" t="n">
        <v>6</v>
      </c>
      <c r="J74" s="11" t="n">
        <v>13</v>
      </c>
      <c r="K74" s="11" t="n">
        <v>11</v>
      </c>
      <c r="L74" s="11" t="n">
        <v>0</v>
      </c>
      <c r="M74" s="11" t="n">
        <v>20</v>
      </c>
      <c r="N74" s="11" t="n">
        <v>120</v>
      </c>
      <c r="O74" s="11" t="n">
        <v>223</v>
      </c>
      <c r="P74" s="11" t="n">
        <v>319</v>
      </c>
      <c r="Q74" s="11" t="n">
        <v>66</v>
      </c>
      <c r="R74" s="11" t="n">
        <v>1353</v>
      </c>
      <c r="S74" s="11" t="n">
        <v>353</v>
      </c>
      <c r="T74" s="11" t="n">
        <v>1618</v>
      </c>
      <c r="U74" s="11" t="n">
        <v>334</v>
      </c>
      <c r="V74" s="11" t="n">
        <v>2652</v>
      </c>
      <c r="W74" s="11" t="n">
        <v>0</v>
      </c>
      <c r="X74" s="11" t="n">
        <v>0</v>
      </c>
      <c r="Y74" s="11" t="n">
        <v>4766</v>
      </c>
      <c r="Z74" s="11" t="n">
        <v>2274</v>
      </c>
      <c r="AA74" s="11" t="n">
        <v>0</v>
      </c>
      <c r="AB74" s="11" t="n">
        <v>770</v>
      </c>
      <c r="AC74" s="11" t="n">
        <v>9</v>
      </c>
      <c r="AD74" s="11" t="n">
        <v>7</v>
      </c>
      <c r="AE74" s="11" t="n">
        <v>0</v>
      </c>
      <c r="AF74" s="11" t="n">
        <v>16</v>
      </c>
      <c r="AG74" s="11" t="n">
        <v>16</v>
      </c>
      <c r="AH74" s="11" t="n">
        <v>578</v>
      </c>
      <c r="AI74" s="11" t="n">
        <v>13377</v>
      </c>
      <c r="AJ74" s="11" t="n">
        <v>895</v>
      </c>
      <c r="AK74" s="11" t="n">
        <v>0</v>
      </c>
      <c r="AL74" s="11" t="n">
        <v>895</v>
      </c>
      <c r="AM74" s="11" t="n">
        <v>14272</v>
      </c>
      <c r="AN74" s="11" t="n">
        <v>909</v>
      </c>
      <c r="AO74" s="11" t="n">
        <v>1</v>
      </c>
      <c r="AP74" s="11" t="n">
        <v>1</v>
      </c>
      <c r="AQ74" s="11" t="n">
        <v>2</v>
      </c>
      <c r="AR74" s="11" t="n">
        <v>0</v>
      </c>
      <c r="AS74" s="11" t="n">
        <v>913</v>
      </c>
      <c r="AT74" s="11" t="n">
        <v>140</v>
      </c>
      <c r="AU74" s="11" t="n">
        <v>0</v>
      </c>
      <c r="AV74" s="11" t="n">
        <v>0</v>
      </c>
      <c r="AW74" s="11" t="n">
        <v>41</v>
      </c>
      <c r="AX74" s="11" t="n">
        <v>26</v>
      </c>
      <c r="AY74" s="11" t="n">
        <v>207</v>
      </c>
      <c r="AZ74" s="11" t="n">
        <v>225</v>
      </c>
      <c r="BA74" s="11" t="n">
        <v>45</v>
      </c>
      <c r="BB74" s="11" t="n">
        <v>0</v>
      </c>
      <c r="BC74" s="11" t="n">
        <v>0</v>
      </c>
      <c r="BD74" s="11" t="n">
        <v>0</v>
      </c>
      <c r="BE74" s="11" t="n">
        <v>270</v>
      </c>
      <c r="BF74" s="11" t="n">
        <v>222</v>
      </c>
      <c r="BG74" s="11" t="n">
        <v>134</v>
      </c>
      <c r="BH74" s="11" t="n">
        <v>240</v>
      </c>
      <c r="BI74" s="11" t="n">
        <v>359</v>
      </c>
      <c r="BJ74" s="11" t="n">
        <v>132</v>
      </c>
      <c r="BK74" s="11" t="n">
        <v>0</v>
      </c>
      <c r="BL74" s="11" t="n">
        <v>3</v>
      </c>
      <c r="BM74" s="11" t="n">
        <v>123</v>
      </c>
      <c r="BN74" s="11" t="n">
        <v>0</v>
      </c>
      <c r="BO74" s="11" t="n">
        <v>5</v>
      </c>
      <c r="BP74" s="11" t="n">
        <v>378</v>
      </c>
      <c r="BQ74" s="11" t="n">
        <v>1462</v>
      </c>
      <c r="BR74" s="11" t="n">
        <v>1732</v>
      </c>
      <c r="BS74" s="11" t="n">
        <v>18477</v>
      </c>
    </row>
    <row r="75">
      <c r="A75" s="11" t="n">
        <v>2023</v>
      </c>
      <c r="B75" t="inlineStr">
        <is>
          <t>Est</t>
        </is>
      </c>
      <c r="C75" t="inlineStr">
        <is>
          <t>Bourgogne-Franche-Comt�</t>
        </is>
      </c>
      <c r="D75" t="inlineStr">
        <is>
          <t>71</t>
        </is>
      </c>
      <c r="E75" t="inlineStr">
        <is>
          <t>Sa�ne-et-Loire</t>
        </is>
      </c>
      <c r="F75" t="inlineStr">
        <is>
          <t>B</t>
        </is>
      </c>
      <c r="G75" s="11" t="n">
        <v>669</v>
      </c>
      <c r="H75" s="11" t="n">
        <v>280</v>
      </c>
      <c r="I75" s="11" t="n">
        <v>0</v>
      </c>
      <c r="J75" s="11" t="n">
        <v>88</v>
      </c>
      <c r="K75" s="11" t="n">
        <v>74</v>
      </c>
      <c r="L75" s="11" t="n">
        <v>0</v>
      </c>
      <c r="M75" s="11" t="n">
        <v>45</v>
      </c>
      <c r="N75" s="11" t="n">
        <v>238</v>
      </c>
      <c r="O75" s="11" t="n">
        <v>443</v>
      </c>
      <c r="P75" s="11" t="n">
        <v>245</v>
      </c>
      <c r="Q75" s="11" t="n">
        <v>1093</v>
      </c>
      <c r="R75" s="11" t="n">
        <v>2895</v>
      </c>
      <c r="S75" s="11" t="n">
        <v>0</v>
      </c>
      <c r="T75" s="11" t="n">
        <v>2513</v>
      </c>
      <c r="U75" s="11" t="n">
        <v>0</v>
      </c>
      <c r="V75" s="11" t="n">
        <v>0</v>
      </c>
      <c r="W75" s="11" t="n">
        <v>0</v>
      </c>
      <c r="X75" s="11" t="n">
        <v>0</v>
      </c>
      <c r="Y75" s="11" t="n">
        <v>10567</v>
      </c>
      <c r="Z75" s="11" t="n">
        <v>3135</v>
      </c>
      <c r="AA75" s="11" t="n">
        <v>0</v>
      </c>
      <c r="AB75" s="11" t="n">
        <v>5218</v>
      </c>
      <c r="AC75" s="11" t="n">
        <v>0</v>
      </c>
      <c r="AD75" s="11" t="n">
        <v>44</v>
      </c>
      <c r="AE75" s="11" t="n">
        <v>0</v>
      </c>
      <c r="AF75" s="11" t="n">
        <v>62</v>
      </c>
      <c r="AG75" s="11" t="n">
        <v>62</v>
      </c>
      <c r="AH75" s="11" t="n">
        <v>1156</v>
      </c>
      <c r="AI75" s="11" t="n">
        <v>22695</v>
      </c>
      <c r="AJ75" s="11" t="n">
        <v>0</v>
      </c>
      <c r="AK75" s="11" t="n">
        <v>37</v>
      </c>
      <c r="AL75" s="11" t="n">
        <v>37</v>
      </c>
      <c r="AM75" s="11" t="n">
        <v>22732</v>
      </c>
      <c r="AN75" s="11" t="n">
        <v>2775</v>
      </c>
      <c r="AO75" s="11" t="n">
        <v>2</v>
      </c>
      <c r="AP75" s="11" t="n">
        <v>6</v>
      </c>
      <c r="AQ75" s="11" t="n">
        <v>4</v>
      </c>
      <c r="AR75" s="11" t="n">
        <v>0</v>
      </c>
      <c r="AS75" s="11" t="n">
        <v>2787</v>
      </c>
      <c r="AT75" s="11" t="n">
        <v>377</v>
      </c>
      <c r="AU75" s="11" t="n">
        <v>0</v>
      </c>
      <c r="AV75" s="11" t="n">
        <v>0</v>
      </c>
      <c r="AW75" s="11" t="n">
        <v>44</v>
      </c>
      <c r="AX75" s="11" t="n">
        <v>64</v>
      </c>
      <c r="AY75" s="11" t="n">
        <v>485</v>
      </c>
      <c r="AZ75" s="11" t="n">
        <v>54</v>
      </c>
      <c r="BA75" s="11" t="n">
        <v>744</v>
      </c>
      <c r="BB75" s="11" t="n">
        <v>15</v>
      </c>
      <c r="BC75" s="11" t="n">
        <v>2</v>
      </c>
      <c r="BD75" s="11" t="n">
        <v>0</v>
      </c>
      <c r="BE75" s="11" t="n">
        <v>815</v>
      </c>
      <c r="BF75" s="11" t="n">
        <v>153</v>
      </c>
      <c r="BG75" s="11" t="n">
        <v>153</v>
      </c>
      <c r="BH75" s="11" t="n">
        <v>377</v>
      </c>
      <c r="BI75" s="11" t="n">
        <v>534</v>
      </c>
      <c r="BJ75" s="11" t="n">
        <v>107</v>
      </c>
      <c r="BK75" s="11" t="n">
        <v>0</v>
      </c>
      <c r="BL75" s="11" t="n">
        <v>0</v>
      </c>
      <c r="BM75" s="11" t="n">
        <v>237</v>
      </c>
      <c r="BN75" s="11" t="n">
        <v>0</v>
      </c>
      <c r="BO75" s="11" t="n">
        <v>0</v>
      </c>
      <c r="BP75" s="11" t="n">
        <v>1124</v>
      </c>
      <c r="BQ75" s="11" t="n">
        <v>2532</v>
      </c>
      <c r="BR75" s="11" t="n">
        <v>3347</v>
      </c>
      <c r="BS75" s="11" t="n">
        <v>32246</v>
      </c>
    </row>
    <row r="76">
      <c r="A76" s="11" t="n">
        <v>2023</v>
      </c>
      <c r="B76" t="inlineStr">
        <is>
          <t>Ouest</t>
        </is>
      </c>
      <c r="C76" t="inlineStr">
        <is>
          <t>Pays de la Loire</t>
        </is>
      </c>
      <c r="D76" t="inlineStr">
        <is>
          <t>72</t>
        </is>
      </c>
      <c r="E76" t="inlineStr">
        <is>
          <t>Sarthe</t>
        </is>
      </c>
      <c r="F76" t="inlineStr">
        <is>
          <t>B</t>
        </is>
      </c>
      <c r="G76" s="11" t="n">
        <v>569</v>
      </c>
      <c r="H76" s="11" t="n">
        <v>261</v>
      </c>
      <c r="I76" s="11" t="n">
        <v>14</v>
      </c>
      <c r="J76" s="11" t="n">
        <v>41</v>
      </c>
      <c r="K76" s="11" t="n">
        <v>42</v>
      </c>
      <c r="L76" s="11" t="n">
        <v>0</v>
      </c>
      <c r="M76" s="11" t="n">
        <v>39</v>
      </c>
      <c r="N76" s="11" t="n">
        <v>145</v>
      </c>
      <c r="O76" s="11" t="n">
        <v>305</v>
      </c>
      <c r="P76" s="11" t="n">
        <v>273</v>
      </c>
      <c r="Q76" s="11" t="n">
        <v>569</v>
      </c>
      <c r="R76" s="11" t="n">
        <v>1997</v>
      </c>
      <c r="S76" s="11" t="n">
        <v>129</v>
      </c>
      <c r="T76" s="11" t="n">
        <v>1972</v>
      </c>
      <c r="U76" s="11" t="n">
        <v>197</v>
      </c>
      <c r="V76" s="11" t="n">
        <v>1004</v>
      </c>
      <c r="W76" s="11" t="n">
        <v>0</v>
      </c>
      <c r="X76" s="11" t="n">
        <v>447</v>
      </c>
      <c r="Y76" s="11" t="n">
        <v>12233</v>
      </c>
      <c r="Z76" s="11" t="n">
        <v>695</v>
      </c>
      <c r="AA76" s="11" t="n">
        <v>192</v>
      </c>
      <c r="AB76" s="11" t="n">
        <v>4693</v>
      </c>
      <c r="AC76" s="11" t="n">
        <v>887</v>
      </c>
      <c r="AD76" s="11" t="n">
        <v>48</v>
      </c>
      <c r="AE76" s="11" t="n">
        <v>0</v>
      </c>
      <c r="AF76" s="11" t="n">
        <v>28</v>
      </c>
      <c r="AG76" s="11" t="n">
        <v>26</v>
      </c>
      <c r="AH76" s="11" t="n">
        <v>161</v>
      </c>
      <c r="AI76" s="11" t="n">
        <v>22686</v>
      </c>
      <c r="AJ76" s="11" t="n">
        <v>4109</v>
      </c>
      <c r="AK76" s="11" t="n">
        <v>0</v>
      </c>
      <c r="AL76" s="11" t="n">
        <v>4109</v>
      </c>
      <c r="AM76" s="11" t="n">
        <v>26795</v>
      </c>
      <c r="AN76" s="11" t="n">
        <v>2462</v>
      </c>
      <c r="AO76" s="11" t="n">
        <v>10</v>
      </c>
      <c r="AP76" s="11" t="n">
        <v>0</v>
      </c>
      <c r="AQ76" s="11" t="n">
        <v>0</v>
      </c>
      <c r="AR76" s="11" t="n">
        <v>0</v>
      </c>
      <c r="AS76" s="11" t="n">
        <v>2472</v>
      </c>
      <c r="AT76" s="11" t="n">
        <v>172</v>
      </c>
      <c r="AU76" s="11" t="n">
        <v>0</v>
      </c>
      <c r="AV76" s="11" t="n">
        <v>121</v>
      </c>
      <c r="AW76" s="11" t="n">
        <v>23</v>
      </c>
      <c r="AX76" s="11" t="n">
        <v>2</v>
      </c>
      <c r="AY76" s="11" t="n">
        <v>318</v>
      </c>
      <c r="AZ76" s="11" t="n">
        <v>321</v>
      </c>
      <c r="BA76" s="11" t="n">
        <v>130</v>
      </c>
      <c r="BB76" s="11" t="n">
        <v>139</v>
      </c>
      <c r="BC76" s="11" t="n">
        <v>0</v>
      </c>
      <c r="BD76" s="11" t="n">
        <v>0</v>
      </c>
      <c r="BE76" s="11" t="n">
        <v>590</v>
      </c>
      <c r="BF76" s="11" t="n">
        <v>150</v>
      </c>
      <c r="BG76" s="11" t="n">
        <v>150</v>
      </c>
      <c r="BH76" s="11" t="n">
        <v>287</v>
      </c>
      <c r="BI76" s="11" t="n">
        <v>62</v>
      </c>
      <c r="BJ76" s="11" t="n">
        <v>0</v>
      </c>
      <c r="BK76" s="11" t="n">
        <v>0</v>
      </c>
      <c r="BL76" s="11" t="n">
        <v>1</v>
      </c>
      <c r="BM76" s="11" t="n">
        <v>0</v>
      </c>
      <c r="BN76" s="11" t="n">
        <v>175</v>
      </c>
      <c r="BO76" s="11" t="n">
        <v>1</v>
      </c>
      <c r="BP76" s="11" t="n">
        <v>578</v>
      </c>
      <c r="BQ76" s="11" t="n">
        <v>1254</v>
      </c>
      <c r="BR76" s="11" t="n">
        <v>1844</v>
      </c>
      <c r="BS76" s="11" t="n">
        <v>33426</v>
      </c>
    </row>
    <row r="77">
      <c r="A77" s="11" t="n">
        <v>2023</v>
      </c>
      <c r="B77" t="inlineStr">
        <is>
          <t>Sud-est</t>
        </is>
      </c>
      <c r="C77" t="inlineStr">
        <is>
          <t>Auvergne-Rh�ne-Alpes</t>
        </is>
      </c>
      <c r="D77" t="inlineStr">
        <is>
          <t>73</t>
        </is>
      </c>
      <c r="E77" t="inlineStr">
        <is>
          <t>Savoie</t>
        </is>
      </c>
      <c r="F77" t="inlineStr">
        <is>
          <t>B</t>
        </is>
      </c>
      <c r="G77" s="11" t="n">
        <v>233</v>
      </c>
      <c r="H77" s="11" t="n">
        <v>183</v>
      </c>
      <c r="I77" s="11" t="n">
        <v>31</v>
      </c>
      <c r="J77" s="11" t="n">
        <v>61</v>
      </c>
      <c r="K77" s="11" t="n">
        <v>36</v>
      </c>
      <c r="L77" s="11" t="n">
        <v>0</v>
      </c>
      <c r="M77" s="11" t="n">
        <v>14</v>
      </c>
      <c r="N77" s="11" t="n">
        <v>442</v>
      </c>
      <c r="O77" s="11" t="n">
        <v>361</v>
      </c>
      <c r="P77" s="11" t="n">
        <v>267</v>
      </c>
      <c r="Q77" s="11" t="n">
        <v>192</v>
      </c>
      <c r="R77" s="11" t="n">
        <v>1637</v>
      </c>
      <c r="S77" s="11" t="n">
        <v>346</v>
      </c>
      <c r="T77" s="11" t="n">
        <v>5828</v>
      </c>
      <c r="U77" s="11" t="n">
        <v>1001</v>
      </c>
      <c r="V77" s="11" t="n">
        <v>5631</v>
      </c>
      <c r="W77" s="11" t="n">
        <v>611</v>
      </c>
      <c r="X77" s="11" t="n">
        <v>42</v>
      </c>
      <c r="Y77" s="11" t="n">
        <v>5675</v>
      </c>
      <c r="Z77" s="11" t="n">
        <v>2171</v>
      </c>
      <c r="AA77" s="11" t="n">
        <v>40</v>
      </c>
      <c r="AB77" s="11" t="n">
        <v>2218</v>
      </c>
      <c r="AC77" s="11" t="n">
        <v>982</v>
      </c>
      <c r="AD77" s="11" t="n">
        <v>92</v>
      </c>
      <c r="AE77" s="11" t="n">
        <v>0</v>
      </c>
      <c r="AF77" s="11" t="n">
        <v>53</v>
      </c>
      <c r="AG77" s="11" t="n">
        <v>48</v>
      </c>
      <c r="AH77" s="11" t="n">
        <v>330</v>
      </c>
      <c r="AI77" s="11" t="n">
        <v>25020</v>
      </c>
      <c r="AJ77" s="11" t="n">
        <v>183</v>
      </c>
      <c r="AK77" s="11" t="n">
        <v>11</v>
      </c>
      <c r="AL77" s="11" t="n">
        <v>194</v>
      </c>
      <c r="AM77" s="11" t="n">
        <v>25214</v>
      </c>
      <c r="AN77" s="11" t="n">
        <v>2273</v>
      </c>
      <c r="AO77" s="11" t="n">
        <v>2</v>
      </c>
      <c r="AP77" s="11" t="n">
        <v>1</v>
      </c>
      <c r="AQ77" s="11" t="n">
        <v>25</v>
      </c>
      <c r="AR77" s="11" t="n">
        <v>0</v>
      </c>
      <c r="AS77" s="11" t="n">
        <v>2301</v>
      </c>
      <c r="AT77" s="11" t="n">
        <v>216</v>
      </c>
      <c r="AU77" s="11" t="n">
        <v>153</v>
      </c>
      <c r="AV77" s="11" t="n">
        <v>0</v>
      </c>
      <c r="AW77" s="11" t="n">
        <v>42</v>
      </c>
      <c r="AX77" s="11" t="n">
        <v>0</v>
      </c>
      <c r="AY77" s="11" t="n">
        <v>411</v>
      </c>
      <c r="AZ77" s="11" t="n">
        <v>559</v>
      </c>
      <c r="BA77" s="11" t="n">
        <v>13</v>
      </c>
      <c r="BB77" s="11" t="n">
        <v>125</v>
      </c>
      <c r="BC77" s="11" t="n">
        <v>0</v>
      </c>
      <c r="BD77" s="11" t="n">
        <v>0</v>
      </c>
      <c r="BE77" s="11" t="n">
        <v>697</v>
      </c>
      <c r="BF77" s="11" t="n">
        <v>197</v>
      </c>
      <c r="BG77" s="11" t="n">
        <v>0</v>
      </c>
      <c r="BH77" s="11" t="n">
        <v>407</v>
      </c>
      <c r="BI77" s="11" t="n">
        <v>131</v>
      </c>
      <c r="BJ77" s="11" t="n">
        <v>127</v>
      </c>
      <c r="BK77" s="11" t="n">
        <v>0</v>
      </c>
      <c r="BL77" s="11" t="n">
        <v>9</v>
      </c>
      <c r="BM77" s="11" t="n">
        <v>58</v>
      </c>
      <c r="BN77" s="11" t="n">
        <v>0</v>
      </c>
      <c r="BO77" s="11" t="n">
        <v>2</v>
      </c>
      <c r="BP77" s="11" t="n">
        <v>1195</v>
      </c>
      <c r="BQ77" s="11" t="n">
        <v>2126</v>
      </c>
      <c r="BR77" s="11" t="n">
        <v>2823</v>
      </c>
      <c r="BS77" s="11" t="n">
        <v>32386</v>
      </c>
    </row>
    <row r="78">
      <c r="A78" s="11" t="n">
        <v>2023</v>
      </c>
      <c r="B78" t="inlineStr">
        <is>
          <t>Sud-est</t>
        </is>
      </c>
      <c r="C78" t="inlineStr">
        <is>
          <t>Auvergne-Rh�ne-Alpes</t>
        </is>
      </c>
      <c r="D78" t="inlineStr">
        <is>
          <t>74</t>
        </is>
      </c>
      <c r="E78" t="inlineStr">
        <is>
          <t>Haute-Savoie</t>
        </is>
      </c>
      <c r="F78" t="inlineStr">
        <is>
          <t>A</t>
        </is>
      </c>
      <c r="G78" s="11" t="n">
        <v>879</v>
      </c>
      <c r="H78" s="11" t="n">
        <v>248</v>
      </c>
      <c r="I78" s="11" t="n">
        <v>0</v>
      </c>
      <c r="J78" s="11" t="n">
        <v>72</v>
      </c>
      <c r="K78" s="11" t="n">
        <v>61</v>
      </c>
      <c r="L78" s="11" t="n">
        <v>0</v>
      </c>
      <c r="M78" s="11" t="n">
        <v>15</v>
      </c>
      <c r="N78" s="11" t="n">
        <v>0</v>
      </c>
      <c r="O78" s="11" t="n">
        <v>461</v>
      </c>
      <c r="P78" s="11" t="n">
        <v>321</v>
      </c>
      <c r="Q78" s="11" t="n">
        <v>1602</v>
      </c>
      <c r="R78" s="11" t="n">
        <v>3411</v>
      </c>
      <c r="S78" s="11" t="n">
        <v>0</v>
      </c>
      <c r="T78" s="11" t="n">
        <v>7324</v>
      </c>
      <c r="U78" s="11" t="n">
        <v>1873</v>
      </c>
      <c r="V78" s="11" t="n">
        <v>4607</v>
      </c>
      <c r="W78" s="11" t="n">
        <v>489</v>
      </c>
      <c r="X78" s="11" t="n">
        <v>0</v>
      </c>
      <c r="Y78" s="11" t="n">
        <v>7123</v>
      </c>
      <c r="Z78" s="11" t="n">
        <v>12147</v>
      </c>
      <c r="AA78" s="11" t="n">
        <v>0</v>
      </c>
      <c r="AB78" s="11" t="n">
        <v>5688</v>
      </c>
      <c r="AC78" s="11" t="n">
        <v>76</v>
      </c>
      <c r="AD78" s="11" t="n">
        <v>60</v>
      </c>
      <c r="AE78" s="11" t="n">
        <v>0</v>
      </c>
      <c r="AF78" s="11" t="n">
        <v>85</v>
      </c>
      <c r="AG78" s="11" t="n">
        <v>0</v>
      </c>
      <c r="AH78" s="11" t="n">
        <v>2</v>
      </c>
      <c r="AI78" s="11" t="n">
        <v>39474</v>
      </c>
      <c r="AJ78" s="11" t="n">
        <v>2252</v>
      </c>
      <c r="AK78" s="11" t="n">
        <v>0</v>
      </c>
      <c r="AL78" s="11" t="n">
        <v>2252</v>
      </c>
      <c r="AM78" s="11" t="n">
        <v>41726</v>
      </c>
      <c r="AN78" s="11" t="n">
        <v>4367</v>
      </c>
      <c r="AO78" s="11" t="n">
        <v>0</v>
      </c>
      <c r="AP78" s="11" t="n">
        <v>4</v>
      </c>
      <c r="AQ78" s="11" t="n">
        <v>67</v>
      </c>
      <c r="AR78" s="11" t="n">
        <v>0</v>
      </c>
      <c r="AS78" s="11" t="n">
        <v>4438</v>
      </c>
      <c r="AT78" s="11" t="n">
        <v>519</v>
      </c>
      <c r="AU78" s="11" t="n">
        <v>383</v>
      </c>
      <c r="AV78" s="11" t="n">
        <v>117</v>
      </c>
      <c r="AW78" s="11" t="n">
        <v>121</v>
      </c>
      <c r="AX78" s="11" t="n">
        <v>0</v>
      </c>
      <c r="AY78" s="11" t="n">
        <v>1140</v>
      </c>
      <c r="AZ78" s="11" t="n">
        <v>0</v>
      </c>
      <c r="BA78" s="11" t="n">
        <v>2171</v>
      </c>
      <c r="BB78" s="11" t="n">
        <v>2751</v>
      </c>
      <c r="BC78" s="11" t="n">
        <v>0</v>
      </c>
      <c r="BD78" s="11" t="n">
        <v>30</v>
      </c>
      <c r="BE78" s="11" t="n">
        <v>4952</v>
      </c>
      <c r="BF78" s="11" t="n">
        <v>0</v>
      </c>
      <c r="BG78" s="11" t="n">
        <v>0</v>
      </c>
      <c r="BH78" s="11" t="n">
        <v>1808</v>
      </c>
      <c r="BI78" s="11" t="n">
        <v>193</v>
      </c>
      <c r="BJ78" s="11" t="n">
        <v>303</v>
      </c>
      <c r="BK78" s="11" t="n">
        <v>148</v>
      </c>
      <c r="BL78" s="11" t="n">
        <v>39</v>
      </c>
      <c r="BM78" s="11" t="n">
        <v>255</v>
      </c>
      <c r="BN78" s="11" t="n">
        <v>0</v>
      </c>
      <c r="BO78" s="11" t="n">
        <v>14</v>
      </c>
      <c r="BP78" s="11" t="n">
        <v>190</v>
      </c>
      <c r="BQ78" s="11" t="n">
        <v>2950</v>
      </c>
      <c r="BR78" s="11" t="n">
        <v>7902</v>
      </c>
      <c r="BS78" s="11" t="n">
        <v>58617</v>
      </c>
    </row>
    <row r="79">
      <c r="A79" s="11" t="n">
        <v>2023</v>
      </c>
      <c r="B79" t="inlineStr">
        <is>
          <t>Ouest</t>
        </is>
      </c>
      <c r="C79" t="inlineStr">
        <is>
          <t>Normandie</t>
        </is>
      </c>
      <c r="D79" t="inlineStr">
        <is>
          <t>76</t>
        </is>
      </c>
      <c r="E79" t="inlineStr">
        <is>
          <t>Seine-Maritime</t>
        </is>
      </c>
      <c r="F79" t="inlineStr">
        <is>
          <t>A</t>
        </is>
      </c>
      <c r="G79" s="11" t="n">
        <v>1856</v>
      </c>
      <c r="H79" s="11" t="n">
        <v>387</v>
      </c>
      <c r="I79" s="11" t="n">
        <v>26</v>
      </c>
      <c r="J79" s="11" t="n">
        <v>196</v>
      </c>
      <c r="K79" s="11" t="n">
        <v>147</v>
      </c>
      <c r="L79" s="11" t="n">
        <v>32</v>
      </c>
      <c r="M79" s="11" t="n">
        <v>55</v>
      </c>
      <c r="N79" s="11" t="n">
        <v>2344</v>
      </c>
      <c r="O79" s="11" t="n">
        <v>1173</v>
      </c>
      <c r="P79" s="11" t="n">
        <v>247</v>
      </c>
      <c r="Q79" s="11" t="n">
        <v>670</v>
      </c>
      <c r="R79" s="11" t="n">
        <v>6746</v>
      </c>
      <c r="S79" s="11" t="n">
        <v>4</v>
      </c>
      <c r="T79" s="11" t="n">
        <v>1286</v>
      </c>
      <c r="U79" s="11" t="n">
        <v>158</v>
      </c>
      <c r="V79" s="11" t="n">
        <v>66</v>
      </c>
      <c r="W79" s="11" t="n">
        <v>0</v>
      </c>
      <c r="X79" s="11" t="n">
        <v>340</v>
      </c>
      <c r="Y79" s="11" t="n">
        <v>24717</v>
      </c>
      <c r="Z79" s="11" t="n">
        <v>6019</v>
      </c>
      <c r="AA79" s="11" t="n">
        <v>318</v>
      </c>
      <c r="AB79" s="11" t="n">
        <v>15244</v>
      </c>
      <c r="AC79" s="11" t="n">
        <v>944</v>
      </c>
      <c r="AD79" s="11" t="n">
        <v>117</v>
      </c>
      <c r="AE79" s="11" t="n">
        <v>42</v>
      </c>
      <c r="AF79" s="11" t="n">
        <v>180</v>
      </c>
      <c r="AG79" s="11" t="n">
        <v>178</v>
      </c>
      <c r="AH79" s="11" t="n">
        <v>5105</v>
      </c>
      <c r="AI79" s="11" t="n">
        <v>54540</v>
      </c>
      <c r="AJ79" s="11" t="n">
        <v>10921</v>
      </c>
      <c r="AK79" s="11" t="n">
        <v>1</v>
      </c>
      <c r="AL79" s="11" t="n">
        <v>10922</v>
      </c>
      <c r="AM79" s="11" t="n">
        <v>65462</v>
      </c>
      <c r="AN79" s="11" t="n">
        <v>4726</v>
      </c>
      <c r="AO79" s="11" t="n">
        <v>10</v>
      </c>
      <c r="AP79" s="11" t="n">
        <v>1</v>
      </c>
      <c r="AQ79" s="11" t="n">
        <v>0</v>
      </c>
      <c r="AR79" s="11" t="n">
        <v>0</v>
      </c>
      <c r="AS79" s="11" t="n">
        <v>4737</v>
      </c>
      <c r="AT79" s="11" t="n">
        <v>721</v>
      </c>
      <c r="AU79" s="11" t="n">
        <v>198</v>
      </c>
      <c r="AV79" s="11" t="n">
        <v>26</v>
      </c>
      <c r="AW79" s="11" t="n">
        <v>141</v>
      </c>
      <c r="AX79" s="11" t="n">
        <v>31</v>
      </c>
      <c r="AY79" s="11" t="n">
        <v>1117</v>
      </c>
      <c r="AZ79" s="11" t="n">
        <v>437</v>
      </c>
      <c r="BA79" s="11" t="n">
        <v>885</v>
      </c>
      <c r="BB79" s="11" t="n">
        <v>238</v>
      </c>
      <c r="BC79" s="11" t="n">
        <v>0</v>
      </c>
      <c r="BD79" s="11" t="n">
        <v>0</v>
      </c>
      <c r="BE79" s="11" t="n">
        <v>1560</v>
      </c>
      <c r="BF79" s="11" t="n">
        <v>63</v>
      </c>
      <c r="BG79" s="11" t="n">
        <v>51</v>
      </c>
      <c r="BH79" s="11" t="n">
        <v>1054</v>
      </c>
      <c r="BI79" s="11" t="n">
        <v>728</v>
      </c>
      <c r="BJ79" s="11" t="n">
        <v>420</v>
      </c>
      <c r="BK79" s="11" t="n">
        <v>0</v>
      </c>
      <c r="BL79" s="11" t="n">
        <v>37</v>
      </c>
      <c r="BM79" s="11" t="n">
        <v>34</v>
      </c>
      <c r="BN79" s="11" t="n">
        <v>32</v>
      </c>
      <c r="BO79" s="11" t="n">
        <v>3</v>
      </c>
      <c r="BP79" s="11" t="n">
        <v>909</v>
      </c>
      <c r="BQ79" s="11" t="n">
        <v>3280</v>
      </c>
      <c r="BR79" s="11" t="n">
        <v>4840</v>
      </c>
      <c r="BS79" s="11" t="n">
        <v>82902</v>
      </c>
    </row>
    <row r="80">
      <c r="A80" s="11" t="n">
        <v>2023</v>
      </c>
      <c r="B80" t="inlineStr">
        <is>
          <t>�le-de-France</t>
        </is>
      </c>
      <c r="C80" t="inlineStr">
        <is>
          <t>�le-de-France</t>
        </is>
      </c>
      <c r="D80" t="inlineStr">
        <is>
          <t>77</t>
        </is>
      </c>
      <c r="E80" t="inlineStr">
        <is>
          <t>Seine-et-Marne</t>
        </is>
      </c>
      <c r="F80" t="inlineStr">
        <is>
          <t>A</t>
        </is>
      </c>
      <c r="G80" s="11" t="n">
        <v>1175</v>
      </c>
      <c r="H80" s="11" t="n">
        <v>331</v>
      </c>
      <c r="I80" s="11" t="n">
        <v>32</v>
      </c>
      <c r="J80" s="11" t="n">
        <v>80</v>
      </c>
      <c r="K80" s="11" t="n">
        <v>91</v>
      </c>
      <c r="L80" s="11" t="n">
        <v>0</v>
      </c>
      <c r="M80" s="11" t="n">
        <v>9</v>
      </c>
      <c r="N80" s="11" t="n">
        <v>1046</v>
      </c>
      <c r="O80" s="11" t="n">
        <v>1187</v>
      </c>
      <c r="P80" s="11" t="n">
        <v>431</v>
      </c>
      <c r="Q80" s="11" t="n">
        <v>1223</v>
      </c>
      <c r="R80" s="11" t="n">
        <v>5274</v>
      </c>
      <c r="S80" s="11" t="n">
        <v>0</v>
      </c>
      <c r="T80" s="11" t="n">
        <v>6290</v>
      </c>
      <c r="U80" s="11" t="n">
        <v>0</v>
      </c>
      <c r="V80" s="11" t="n">
        <v>9353</v>
      </c>
      <c r="W80" s="11" t="n">
        <v>0</v>
      </c>
      <c r="X80" s="11" t="n">
        <v>0</v>
      </c>
      <c r="Y80" s="11" t="n">
        <v>41160</v>
      </c>
      <c r="Z80" s="11" t="n">
        <v>9907</v>
      </c>
      <c r="AA80" s="11" t="n">
        <v>0</v>
      </c>
      <c r="AB80" s="11" t="n">
        <v>11441</v>
      </c>
      <c r="AC80" s="11" t="n">
        <v>2707</v>
      </c>
      <c r="AD80" s="11" t="n">
        <v>35</v>
      </c>
      <c r="AE80" s="11" t="n">
        <v>0</v>
      </c>
      <c r="AF80" s="11" t="n">
        <v>309</v>
      </c>
      <c r="AG80" s="11" t="n">
        <v>96</v>
      </c>
      <c r="AH80" s="11" t="n">
        <v>499</v>
      </c>
      <c r="AI80" s="11" t="n">
        <v>81701</v>
      </c>
      <c r="AJ80" s="11" t="n">
        <v>5098</v>
      </c>
      <c r="AK80" s="11" t="n">
        <v>23</v>
      </c>
      <c r="AL80" s="11" t="n">
        <v>5121</v>
      </c>
      <c r="AM80" s="11" t="n">
        <v>86822</v>
      </c>
      <c r="AN80" s="11" t="n">
        <v>5559</v>
      </c>
      <c r="AO80" s="11" t="n">
        <v>14</v>
      </c>
      <c r="AP80" s="11" t="n">
        <v>4</v>
      </c>
      <c r="AQ80" s="11" t="n">
        <v>16</v>
      </c>
      <c r="AR80" s="11" t="n">
        <v>0</v>
      </c>
      <c r="AS80" s="11" t="n">
        <v>5593</v>
      </c>
      <c r="AT80" s="11" t="n">
        <v>969</v>
      </c>
      <c r="AU80" s="11" t="n">
        <v>0</v>
      </c>
      <c r="AV80" s="11" t="n">
        <v>97</v>
      </c>
      <c r="AW80" s="11" t="n">
        <v>62</v>
      </c>
      <c r="AX80" s="11" t="n">
        <v>0</v>
      </c>
      <c r="AY80" s="11" t="n">
        <v>1128</v>
      </c>
      <c r="AZ80" s="11" t="n">
        <v>1036</v>
      </c>
      <c r="BA80" s="11" t="n">
        <v>144</v>
      </c>
      <c r="BB80" s="11" t="n">
        <v>3417</v>
      </c>
      <c r="BC80" s="11" t="n">
        <v>0</v>
      </c>
      <c r="BD80" s="11" t="n">
        <v>0</v>
      </c>
      <c r="BE80" s="11" t="n">
        <v>4597</v>
      </c>
      <c r="BF80" s="11" t="n">
        <v>0</v>
      </c>
      <c r="BG80" s="11" t="n">
        <v>0</v>
      </c>
      <c r="BH80" s="11" t="n">
        <v>462</v>
      </c>
      <c r="BI80" s="11" t="n">
        <v>155</v>
      </c>
      <c r="BJ80" s="11" t="n">
        <v>6</v>
      </c>
      <c r="BK80" s="11" t="n">
        <v>0</v>
      </c>
      <c r="BL80" s="11" t="n">
        <v>21</v>
      </c>
      <c r="BM80" s="11" t="n">
        <v>27</v>
      </c>
      <c r="BN80" s="11" t="n">
        <v>0</v>
      </c>
      <c r="BO80" s="11" t="n">
        <v>1</v>
      </c>
      <c r="BP80" s="11" t="n">
        <v>97</v>
      </c>
      <c r="BQ80" s="11" t="n">
        <v>769</v>
      </c>
      <c r="BR80" s="11" t="n">
        <v>5366</v>
      </c>
      <c r="BS80" s="11" t="n">
        <v>104183</v>
      </c>
    </row>
    <row r="81">
      <c r="A81" s="11" t="n">
        <v>2023</v>
      </c>
      <c r="B81" t="inlineStr">
        <is>
          <t>�le-de-France</t>
        </is>
      </c>
      <c r="C81" t="inlineStr">
        <is>
          <t>�le-de-France</t>
        </is>
      </c>
      <c r="D81" t="inlineStr">
        <is>
          <t>78</t>
        </is>
      </c>
      <c r="E81" t="inlineStr">
        <is>
          <t>Yvelines</t>
        </is>
      </c>
      <c r="F81" t="inlineStr">
        <is>
          <t>A</t>
        </is>
      </c>
      <c r="G81" s="11" t="n">
        <v>1041</v>
      </c>
      <c r="H81" s="11" t="n">
        <v>238</v>
      </c>
      <c r="I81" s="11" t="n">
        <v>38</v>
      </c>
      <c r="J81" s="11" t="n">
        <v>127</v>
      </c>
      <c r="K81" s="11" t="n">
        <v>62</v>
      </c>
      <c r="L81" s="11" t="n">
        <v>0</v>
      </c>
      <c r="M81" s="11" t="n">
        <v>6</v>
      </c>
      <c r="N81" s="11" t="n">
        <v>1511</v>
      </c>
      <c r="O81" s="11" t="n">
        <v>1077</v>
      </c>
      <c r="P81" s="11" t="n">
        <v>475</v>
      </c>
      <c r="Q81" s="11" t="n">
        <v>1138</v>
      </c>
      <c r="R81" s="11" t="n">
        <v>5475</v>
      </c>
      <c r="S81" s="11" t="n">
        <v>4</v>
      </c>
      <c r="T81" s="11" t="n">
        <v>17996</v>
      </c>
      <c r="U81" s="11" t="n">
        <v>0</v>
      </c>
      <c r="V81" s="11" t="n">
        <v>151</v>
      </c>
      <c r="W81" s="11" t="n">
        <v>0</v>
      </c>
      <c r="X81" s="11" t="n">
        <v>0</v>
      </c>
      <c r="Y81" s="11" t="n">
        <v>2449</v>
      </c>
      <c r="Z81" s="11" t="n">
        <v>31012</v>
      </c>
      <c r="AA81" s="11" t="n">
        <v>0</v>
      </c>
      <c r="AB81" s="11" t="n">
        <v>8141</v>
      </c>
      <c r="AC81" s="11" t="n">
        <v>2920</v>
      </c>
      <c r="AD81" s="11" t="n">
        <v>35</v>
      </c>
      <c r="AE81" s="11" t="n">
        <v>0</v>
      </c>
      <c r="AF81" s="11" t="n">
        <v>999</v>
      </c>
      <c r="AG81" s="11" t="n">
        <v>83</v>
      </c>
      <c r="AH81" s="11" t="n">
        <v>10823</v>
      </c>
      <c r="AI81" s="11" t="n">
        <v>74530</v>
      </c>
      <c r="AJ81" s="11" t="n">
        <v>5618</v>
      </c>
      <c r="AK81" s="11" t="n">
        <v>18</v>
      </c>
      <c r="AL81" s="11" t="n">
        <v>5636</v>
      </c>
      <c r="AM81" s="11" t="n">
        <v>80166</v>
      </c>
      <c r="AN81" s="11" t="n">
        <v>4627</v>
      </c>
      <c r="AO81" s="11" t="n">
        <v>19</v>
      </c>
      <c r="AP81" s="11" t="n">
        <v>3</v>
      </c>
      <c r="AQ81" s="11" t="n">
        <v>6</v>
      </c>
      <c r="AR81" s="11" t="n">
        <v>0</v>
      </c>
      <c r="AS81" s="11" t="n">
        <v>4655</v>
      </c>
      <c r="AT81" s="11" t="n">
        <v>623</v>
      </c>
      <c r="AU81" s="11" t="n">
        <v>233</v>
      </c>
      <c r="AV81" s="11" t="n">
        <v>170</v>
      </c>
      <c r="AW81" s="11" t="n">
        <v>65</v>
      </c>
      <c r="AX81" s="11" t="n">
        <v>0</v>
      </c>
      <c r="AY81" s="11" t="n">
        <v>1091</v>
      </c>
      <c r="AZ81" s="11" t="n">
        <v>1205</v>
      </c>
      <c r="BA81" s="11" t="n">
        <v>1</v>
      </c>
      <c r="BB81" s="11" t="n">
        <v>378</v>
      </c>
      <c r="BC81" s="11" t="n">
        <v>0</v>
      </c>
      <c r="BD81" s="11" t="n">
        <v>0</v>
      </c>
      <c r="BE81" s="11" t="n">
        <v>1584</v>
      </c>
      <c r="BF81" s="11" t="n">
        <v>1300</v>
      </c>
      <c r="BG81" s="11" t="n">
        <v>0</v>
      </c>
      <c r="BH81" s="11" t="n">
        <v>678</v>
      </c>
      <c r="BI81" s="11" t="n">
        <v>199</v>
      </c>
      <c r="BJ81" s="11" t="n">
        <v>81</v>
      </c>
      <c r="BK81" s="11" t="n">
        <v>0</v>
      </c>
      <c r="BL81" s="11" t="n">
        <v>22</v>
      </c>
      <c r="BM81" s="11" t="n">
        <v>186</v>
      </c>
      <c r="BN81" s="11" t="n">
        <v>0</v>
      </c>
      <c r="BO81" s="11" t="n">
        <v>0</v>
      </c>
      <c r="BP81" s="11" t="n">
        <v>750</v>
      </c>
      <c r="BQ81" s="11" t="n">
        <v>3216</v>
      </c>
      <c r="BR81" s="11" t="n">
        <v>4800</v>
      </c>
      <c r="BS81" s="11" t="n">
        <v>96187</v>
      </c>
    </row>
    <row r="82">
      <c r="A82" s="11" t="n">
        <v>2023</v>
      </c>
      <c r="B82" t="inlineStr">
        <is>
          <t>Sud-ouest</t>
        </is>
      </c>
      <c r="C82" t="inlineStr">
        <is>
          <t>Nouvelle-Aquitaine</t>
        </is>
      </c>
      <c r="D82" t="inlineStr">
        <is>
          <t>79</t>
        </is>
      </c>
      <c r="E82" t="inlineStr">
        <is>
          <t>Deux-S�vres</t>
        </is>
      </c>
      <c r="F82" t="inlineStr">
        <is>
          <t>C</t>
        </is>
      </c>
      <c r="G82" s="11" t="n">
        <v>303</v>
      </c>
      <c r="H82" s="11" t="n">
        <v>143</v>
      </c>
      <c r="I82" s="11" t="n">
        <v>4</v>
      </c>
      <c r="J82" s="11" t="n">
        <v>11</v>
      </c>
      <c r="K82" s="11" t="n">
        <v>27</v>
      </c>
      <c r="L82" s="11" t="n">
        <v>1</v>
      </c>
      <c r="M82" s="11" t="n">
        <v>33</v>
      </c>
      <c r="N82" s="11" t="n">
        <v>156</v>
      </c>
      <c r="O82" s="11" t="n">
        <v>245</v>
      </c>
      <c r="P82" s="11" t="n">
        <v>304</v>
      </c>
      <c r="Q82" s="11" t="n">
        <v>172</v>
      </c>
      <c r="R82" s="11" t="n">
        <v>1256</v>
      </c>
      <c r="S82" s="11" t="n">
        <v>68</v>
      </c>
      <c r="T82" s="11" t="n">
        <v>2711</v>
      </c>
      <c r="U82" s="11" t="n">
        <v>107</v>
      </c>
      <c r="V82" s="11" t="n">
        <v>1923</v>
      </c>
      <c r="W82" s="11" t="n">
        <v>0</v>
      </c>
      <c r="X82" s="11" t="n">
        <v>261</v>
      </c>
      <c r="Y82" s="11" t="n">
        <v>5053</v>
      </c>
      <c r="Z82" s="11" t="n">
        <v>1047</v>
      </c>
      <c r="AA82" s="11" t="n">
        <v>35</v>
      </c>
      <c r="AB82" s="11" t="n">
        <v>647</v>
      </c>
      <c r="AC82" s="11" t="n">
        <v>683</v>
      </c>
      <c r="AD82" s="11" t="n">
        <v>11</v>
      </c>
      <c r="AE82" s="11" t="n">
        <v>0</v>
      </c>
      <c r="AF82" s="11" t="n">
        <v>15</v>
      </c>
      <c r="AG82" s="11" t="n">
        <v>2</v>
      </c>
      <c r="AH82" s="11" t="n">
        <v>591</v>
      </c>
      <c r="AI82" s="11" t="n">
        <v>13152</v>
      </c>
      <c r="AJ82" s="11" t="n">
        <v>1388</v>
      </c>
      <c r="AK82" s="11" t="n">
        <v>390</v>
      </c>
      <c r="AL82" s="11" t="n">
        <v>1778</v>
      </c>
      <c r="AM82" s="11" t="n">
        <v>14930</v>
      </c>
      <c r="AN82" s="11" t="n">
        <v>1617</v>
      </c>
      <c r="AO82" s="11" t="n">
        <v>0</v>
      </c>
      <c r="AP82" s="11" t="n">
        <v>2</v>
      </c>
      <c r="AQ82" s="11" t="n">
        <v>0</v>
      </c>
      <c r="AR82" s="11" t="n">
        <v>0</v>
      </c>
      <c r="AS82" s="11" t="n">
        <v>1619</v>
      </c>
      <c r="AT82" s="11" t="n">
        <v>77</v>
      </c>
      <c r="AU82" s="11" t="n">
        <v>69</v>
      </c>
      <c r="AV82" s="11" t="n">
        <v>139</v>
      </c>
      <c r="AW82" s="11" t="n">
        <v>27</v>
      </c>
      <c r="AX82" s="11" t="n">
        <v>11</v>
      </c>
      <c r="AY82" s="11" t="n">
        <v>323</v>
      </c>
      <c r="AZ82" s="11" t="n">
        <v>176</v>
      </c>
      <c r="BA82" s="11" t="n">
        <v>42</v>
      </c>
      <c r="BB82" s="11" t="n">
        <v>124</v>
      </c>
      <c r="BC82" s="11" t="n">
        <v>0</v>
      </c>
      <c r="BD82" s="11" t="n">
        <v>0</v>
      </c>
      <c r="BE82" s="11" t="n">
        <v>342</v>
      </c>
      <c r="BF82" s="11" t="n">
        <v>87</v>
      </c>
      <c r="BG82" s="11" t="n">
        <v>0</v>
      </c>
      <c r="BH82" s="11" t="n">
        <v>193</v>
      </c>
      <c r="BI82" s="11" t="n">
        <v>0</v>
      </c>
      <c r="BJ82" s="11" t="n">
        <v>71</v>
      </c>
      <c r="BK82" s="11" t="n">
        <v>2</v>
      </c>
      <c r="BL82" s="11" t="n">
        <v>19</v>
      </c>
      <c r="BM82" s="11" t="n">
        <v>55</v>
      </c>
      <c r="BN82" s="11" t="n">
        <v>0</v>
      </c>
      <c r="BO82" s="11" t="n">
        <v>1</v>
      </c>
      <c r="BP82" s="11" t="n">
        <v>450</v>
      </c>
      <c r="BQ82" s="11" t="n">
        <v>878</v>
      </c>
      <c r="BR82" s="11" t="n">
        <v>1220</v>
      </c>
      <c r="BS82" s="11" t="n">
        <v>19348</v>
      </c>
    </row>
    <row r="83">
      <c r="A83" s="11" t="n">
        <v>2023</v>
      </c>
      <c r="B83" t="inlineStr">
        <is>
          <t>Nord</t>
        </is>
      </c>
      <c r="C83" t="inlineStr">
        <is>
          <t>Hauts-de-France</t>
        </is>
      </c>
      <c r="D83" t="inlineStr">
        <is>
          <t>80</t>
        </is>
      </c>
      <c r="E83" t="inlineStr">
        <is>
          <t>Somme</t>
        </is>
      </c>
      <c r="F83" t="inlineStr">
        <is>
          <t>B</t>
        </is>
      </c>
      <c r="G83" s="11" t="n">
        <v>620</v>
      </c>
      <c r="H83" s="11" t="n">
        <v>328</v>
      </c>
      <c r="I83" s="11" t="n">
        <v>20</v>
      </c>
      <c r="J83" s="11" t="n">
        <v>19</v>
      </c>
      <c r="K83" s="11" t="n">
        <v>22</v>
      </c>
      <c r="L83" s="11" t="n">
        <v>15</v>
      </c>
      <c r="M83" s="11" t="n">
        <v>33</v>
      </c>
      <c r="N83" s="11" t="n">
        <v>743</v>
      </c>
      <c r="O83" s="11" t="n">
        <v>511</v>
      </c>
      <c r="P83" s="11" t="n">
        <v>475</v>
      </c>
      <c r="Q83" s="11" t="n">
        <v>743</v>
      </c>
      <c r="R83" s="11" t="n">
        <v>3201</v>
      </c>
      <c r="S83" s="11" t="n">
        <v>46</v>
      </c>
      <c r="T83" s="11" t="n">
        <v>2922</v>
      </c>
      <c r="U83" s="11" t="n">
        <v>669</v>
      </c>
      <c r="V83" s="11" t="n">
        <v>3971</v>
      </c>
      <c r="W83" s="11" t="n">
        <v>0</v>
      </c>
      <c r="X83" s="11" t="n">
        <v>149</v>
      </c>
      <c r="Y83" s="11" t="n">
        <v>9090</v>
      </c>
      <c r="Z83" s="11" t="n">
        <v>4232</v>
      </c>
      <c r="AA83" s="11" t="n">
        <v>0</v>
      </c>
      <c r="AB83" s="11" t="n">
        <v>7190</v>
      </c>
      <c r="AC83" s="11" t="n">
        <v>623</v>
      </c>
      <c r="AD83" s="11" t="n">
        <v>25</v>
      </c>
      <c r="AE83" s="11" t="n">
        <v>39</v>
      </c>
      <c r="AF83" s="11" t="n">
        <v>152</v>
      </c>
      <c r="AG83" s="11" t="n">
        <v>95</v>
      </c>
      <c r="AH83" s="11" t="n">
        <v>95</v>
      </c>
      <c r="AI83" s="11" t="n">
        <v>29203</v>
      </c>
      <c r="AJ83" s="11" t="n">
        <v>2765</v>
      </c>
      <c r="AK83" s="11" t="n">
        <v>11</v>
      </c>
      <c r="AL83" s="11" t="n">
        <v>2776</v>
      </c>
      <c r="AM83" s="11" t="n">
        <v>31979</v>
      </c>
      <c r="AN83" s="11" t="n">
        <v>2450</v>
      </c>
      <c r="AO83" s="11" t="n">
        <v>6</v>
      </c>
      <c r="AP83" s="11" t="n">
        <v>1</v>
      </c>
      <c r="AQ83" s="11" t="n">
        <v>0</v>
      </c>
      <c r="AR83" s="11" t="n">
        <v>0</v>
      </c>
      <c r="AS83" s="11" t="n">
        <v>2457</v>
      </c>
      <c r="AT83" s="11" t="n">
        <v>283</v>
      </c>
      <c r="AU83" s="11" t="n">
        <v>0</v>
      </c>
      <c r="AV83" s="11" t="n">
        <v>115</v>
      </c>
      <c r="AW83" s="11" t="n">
        <v>30</v>
      </c>
      <c r="AX83" s="11" t="n">
        <v>11</v>
      </c>
      <c r="AY83" s="11" t="n">
        <v>439</v>
      </c>
      <c r="AZ83" s="11" t="n">
        <v>164</v>
      </c>
      <c r="BA83" s="11" t="n">
        <v>690</v>
      </c>
      <c r="BB83" s="11" t="n">
        <v>129</v>
      </c>
      <c r="BC83" s="11" t="n">
        <v>4</v>
      </c>
      <c r="BD83" s="11" t="n">
        <v>9</v>
      </c>
      <c r="BE83" s="11" t="n">
        <v>996</v>
      </c>
      <c r="BF83" s="11" t="n">
        <v>0</v>
      </c>
      <c r="BG83" s="11" t="n">
        <v>0</v>
      </c>
      <c r="BH83" s="11" t="n">
        <v>267</v>
      </c>
      <c r="BI83" s="11" t="n">
        <v>883</v>
      </c>
      <c r="BJ83" s="11" t="n">
        <v>88</v>
      </c>
      <c r="BK83" s="11" t="n">
        <v>2</v>
      </c>
      <c r="BL83" s="11" t="n">
        <v>10</v>
      </c>
      <c r="BM83" s="11" t="n">
        <v>301</v>
      </c>
      <c r="BN83" s="11" t="n">
        <v>16</v>
      </c>
      <c r="BO83" s="11" t="n">
        <v>17</v>
      </c>
      <c r="BP83" s="11" t="n">
        <v>578</v>
      </c>
      <c r="BQ83" s="11" t="n">
        <v>2162</v>
      </c>
      <c r="BR83" s="11" t="n">
        <v>3158</v>
      </c>
      <c r="BS83" s="11" t="n">
        <v>41234</v>
      </c>
    </row>
    <row r="84">
      <c r="A84" s="11" t="n">
        <v>2023</v>
      </c>
      <c r="B84" t="inlineStr">
        <is>
          <t>Sud</t>
        </is>
      </c>
      <c r="C84" t="inlineStr">
        <is>
          <t>Occitanie</t>
        </is>
      </c>
      <c r="D84" t="inlineStr">
        <is>
          <t>81</t>
        </is>
      </c>
      <c r="E84" t="inlineStr">
        <is>
          <t>Tarn</t>
        </is>
      </c>
      <c r="F84" t="inlineStr">
        <is>
          <t>B</t>
        </is>
      </c>
      <c r="G84" s="11" t="n">
        <v>376</v>
      </c>
      <c r="H84" s="11" t="n">
        <v>149</v>
      </c>
      <c r="I84" s="11" t="n">
        <v>9</v>
      </c>
      <c r="J84" s="11" t="n">
        <v>16</v>
      </c>
      <c r="K84" s="11" t="n">
        <v>24</v>
      </c>
      <c r="L84" s="11" t="n">
        <v>12</v>
      </c>
      <c r="M84" s="11" t="n">
        <v>13</v>
      </c>
      <c r="N84" s="11" t="n">
        <v>105</v>
      </c>
      <c r="O84" s="11" t="n">
        <v>248</v>
      </c>
      <c r="P84" s="11" t="n">
        <v>193</v>
      </c>
      <c r="Q84" s="11" t="n">
        <v>524</v>
      </c>
      <c r="R84" s="11" t="n">
        <v>1520</v>
      </c>
      <c r="S84" s="11" t="n">
        <v>169</v>
      </c>
      <c r="T84" s="11" t="n">
        <v>6413</v>
      </c>
      <c r="U84" s="11" t="n">
        <v>10</v>
      </c>
      <c r="V84" s="11" t="n">
        <v>2178</v>
      </c>
      <c r="W84" s="11" t="n">
        <v>0</v>
      </c>
      <c r="X84" s="11" t="n">
        <v>33</v>
      </c>
      <c r="Y84" s="11" t="n">
        <v>1928</v>
      </c>
      <c r="Z84" s="11" t="n">
        <v>4573</v>
      </c>
      <c r="AA84" s="11" t="n">
        <v>0</v>
      </c>
      <c r="AB84" s="11" t="n">
        <v>1880</v>
      </c>
      <c r="AC84" s="11" t="n">
        <v>22</v>
      </c>
      <c r="AD84" s="11" t="n">
        <v>11</v>
      </c>
      <c r="AE84" s="11" t="n">
        <v>0</v>
      </c>
      <c r="AF84" s="11" t="n">
        <v>35</v>
      </c>
      <c r="AG84" s="11" t="n">
        <v>7</v>
      </c>
      <c r="AH84" s="11" t="n">
        <v>25</v>
      </c>
      <c r="AI84" s="11" t="n">
        <v>17277</v>
      </c>
      <c r="AJ84" s="11" t="n">
        <v>2143</v>
      </c>
      <c r="AK84" s="11" t="n">
        <v>3</v>
      </c>
      <c r="AL84" s="11" t="n">
        <v>2146</v>
      </c>
      <c r="AM84" s="11" t="n">
        <v>19423</v>
      </c>
      <c r="AN84" s="11" t="n">
        <v>1908</v>
      </c>
      <c r="AO84" s="11" t="n">
        <v>0</v>
      </c>
      <c r="AP84" s="11" t="n">
        <v>3</v>
      </c>
      <c r="AQ84" s="11" t="n">
        <v>1</v>
      </c>
      <c r="AR84" s="11" t="n">
        <v>0</v>
      </c>
      <c r="AS84" s="11" t="n">
        <v>1912</v>
      </c>
      <c r="AT84" s="11" t="n">
        <v>118</v>
      </c>
      <c r="AU84" s="11" t="n">
        <v>93</v>
      </c>
      <c r="AV84" s="11" t="n">
        <v>93</v>
      </c>
      <c r="AW84" s="11" t="n">
        <v>24</v>
      </c>
      <c r="AX84" s="11" t="n">
        <v>0</v>
      </c>
      <c r="AY84" s="11" t="n">
        <v>328</v>
      </c>
      <c r="AZ84" s="11" t="n">
        <v>123</v>
      </c>
      <c r="BA84" s="11" t="n">
        <v>78</v>
      </c>
      <c r="BB84" s="11" t="n">
        <v>169</v>
      </c>
      <c r="BC84" s="11" t="n">
        <v>0</v>
      </c>
      <c r="BD84" s="11" t="n">
        <v>0</v>
      </c>
      <c r="BE84" s="11" t="n">
        <v>370</v>
      </c>
      <c r="BF84" s="11" t="n">
        <v>0</v>
      </c>
      <c r="BG84" s="11" t="n">
        <v>0</v>
      </c>
      <c r="BH84" s="11" t="n">
        <v>359</v>
      </c>
      <c r="BI84" s="11" t="n">
        <v>209</v>
      </c>
      <c r="BJ84" s="11" t="n">
        <v>27</v>
      </c>
      <c r="BK84" s="11" t="n">
        <v>5</v>
      </c>
      <c r="BL84" s="11" t="n">
        <v>5</v>
      </c>
      <c r="BM84" s="11" t="n">
        <v>42</v>
      </c>
      <c r="BN84" s="11" t="n">
        <v>4</v>
      </c>
      <c r="BO84" s="11" t="n">
        <v>5</v>
      </c>
      <c r="BP84" s="11" t="n">
        <v>252</v>
      </c>
      <c r="BQ84" s="11" t="n">
        <v>908</v>
      </c>
      <c r="BR84" s="11" t="n">
        <v>1278</v>
      </c>
      <c r="BS84" s="11" t="n">
        <v>24461</v>
      </c>
    </row>
    <row r="85">
      <c r="A85" s="11" t="n">
        <v>2023</v>
      </c>
      <c r="B85" t="inlineStr">
        <is>
          <t>Sud</t>
        </is>
      </c>
      <c r="C85" t="inlineStr">
        <is>
          <t>Occitanie</t>
        </is>
      </c>
      <c r="D85" t="inlineStr">
        <is>
          <t>82</t>
        </is>
      </c>
      <c r="E85" t="inlineStr">
        <is>
          <t>Tarn-et-Garonne</t>
        </is>
      </c>
      <c r="F85" t="inlineStr">
        <is>
          <t>C</t>
        </is>
      </c>
      <c r="G85" s="11" t="n">
        <v>295</v>
      </c>
      <c r="H85" s="11" t="n">
        <v>139</v>
      </c>
      <c r="I85" s="11" t="n">
        <v>1</v>
      </c>
      <c r="J85" s="11" t="n">
        <v>2</v>
      </c>
      <c r="K85" s="11" t="n">
        <v>8</v>
      </c>
      <c r="L85" s="11" t="n">
        <v>4</v>
      </c>
      <c r="M85" s="11" t="n">
        <v>14</v>
      </c>
      <c r="N85" s="11" t="n">
        <v>102</v>
      </c>
      <c r="O85" s="11" t="n">
        <v>191</v>
      </c>
      <c r="P85" s="11" t="n">
        <v>365</v>
      </c>
      <c r="Q85" s="11" t="n">
        <v>265</v>
      </c>
      <c r="R85" s="11" t="n">
        <v>1247</v>
      </c>
      <c r="S85" s="11" t="n">
        <v>302</v>
      </c>
      <c r="T85" s="11" t="n">
        <v>1092</v>
      </c>
      <c r="U85" s="11" t="n">
        <v>504</v>
      </c>
      <c r="V85" s="11" t="n">
        <v>403</v>
      </c>
      <c r="W85" s="11" t="n">
        <v>0</v>
      </c>
      <c r="X85" s="11" t="n">
        <v>187</v>
      </c>
      <c r="Y85" s="11" t="n">
        <v>2353</v>
      </c>
      <c r="Z85" s="11" t="n">
        <v>4927</v>
      </c>
      <c r="AA85" s="11" t="n">
        <v>19</v>
      </c>
      <c r="AB85" s="11" t="n">
        <v>2471</v>
      </c>
      <c r="AC85" s="11" t="n">
        <v>358</v>
      </c>
      <c r="AD85" s="11" t="n">
        <v>19</v>
      </c>
      <c r="AE85" s="11" t="n">
        <v>0</v>
      </c>
      <c r="AF85" s="11" t="n">
        <v>272</v>
      </c>
      <c r="AG85" s="11" t="n">
        <v>9</v>
      </c>
      <c r="AH85" s="11" t="n">
        <v>36</v>
      </c>
      <c r="AI85" s="11" t="n">
        <v>12943</v>
      </c>
      <c r="AJ85" s="11" t="n">
        <v>1534</v>
      </c>
      <c r="AK85" s="11" t="n">
        <v>6</v>
      </c>
      <c r="AL85" s="11" t="n">
        <v>1540</v>
      </c>
      <c r="AM85" s="11" t="n">
        <v>14483</v>
      </c>
      <c r="AN85" s="11" t="n">
        <v>1561</v>
      </c>
      <c r="AO85" s="11" t="n">
        <v>6</v>
      </c>
      <c r="AP85" s="11" t="n">
        <v>2</v>
      </c>
      <c r="AQ85" s="11" t="n">
        <v>2</v>
      </c>
      <c r="AR85" s="11" t="n">
        <v>0</v>
      </c>
      <c r="AS85" s="11" t="n">
        <v>1571</v>
      </c>
      <c r="AT85" s="11" t="n">
        <v>53</v>
      </c>
      <c r="AU85" s="11" t="n">
        <v>88</v>
      </c>
      <c r="AV85" s="11" t="n">
        <v>97</v>
      </c>
      <c r="AW85" s="11" t="n">
        <v>2</v>
      </c>
      <c r="AX85" s="11" t="n">
        <v>0</v>
      </c>
      <c r="AY85" s="11" t="n">
        <v>240</v>
      </c>
      <c r="AZ85" s="11" t="n">
        <v>198</v>
      </c>
      <c r="BA85" s="11" t="n">
        <v>10</v>
      </c>
      <c r="BB85" s="11" t="n">
        <v>352</v>
      </c>
      <c r="BC85" s="11" t="n">
        <v>7</v>
      </c>
      <c r="BD85" s="11" t="n">
        <v>2</v>
      </c>
      <c r="BE85" s="11" t="n">
        <v>569</v>
      </c>
      <c r="BF85" s="11" t="n">
        <v>0</v>
      </c>
      <c r="BG85" s="11" t="n">
        <v>0</v>
      </c>
      <c r="BH85" s="11" t="n">
        <v>339</v>
      </c>
      <c r="BI85" s="11" t="n">
        <v>0</v>
      </c>
      <c r="BJ85" s="11" t="n">
        <v>90</v>
      </c>
      <c r="BK85" s="11" t="n">
        <v>6</v>
      </c>
      <c r="BL85" s="11" t="n">
        <v>5</v>
      </c>
      <c r="BM85" s="11" t="n">
        <v>10</v>
      </c>
      <c r="BN85" s="11" t="n">
        <v>0</v>
      </c>
      <c r="BO85" s="11" t="n">
        <v>6</v>
      </c>
      <c r="BP85" s="11" t="n">
        <v>1007</v>
      </c>
      <c r="BQ85" s="11" t="n">
        <v>1463</v>
      </c>
      <c r="BR85" s="11" t="n">
        <v>2032</v>
      </c>
      <c r="BS85" s="11" t="n">
        <v>19573</v>
      </c>
    </row>
    <row r="86">
      <c r="A86" s="11" t="n">
        <v>2023</v>
      </c>
      <c r="B86" t="inlineStr">
        <is>
          <t>Sud</t>
        </is>
      </c>
      <c r="C86" t="inlineStr">
        <is>
          <t>Provence-Alpes-C�te d'Azur</t>
        </is>
      </c>
      <c r="D86" t="inlineStr">
        <is>
          <t>83</t>
        </is>
      </c>
      <c r="E86" t="inlineStr">
        <is>
          <t>Var</t>
        </is>
      </c>
      <c r="F86" t="inlineStr">
        <is>
          <t>A</t>
        </is>
      </c>
      <c r="G86" s="11" t="n">
        <v>595</v>
      </c>
      <c r="H86" s="11" t="n">
        <v>0</v>
      </c>
      <c r="I86" s="11" t="n">
        <v>39</v>
      </c>
      <c r="J86" s="11" t="n">
        <v>107</v>
      </c>
      <c r="K86" s="11" t="n">
        <v>35</v>
      </c>
      <c r="L86" s="11" t="n">
        <v>0</v>
      </c>
      <c r="M86" s="11" t="n">
        <v>8</v>
      </c>
      <c r="N86" s="11" t="n">
        <v>2112</v>
      </c>
      <c r="O86" s="11" t="n">
        <v>742</v>
      </c>
      <c r="P86" s="11" t="n">
        <v>367</v>
      </c>
      <c r="Q86" s="11" t="n">
        <v>23</v>
      </c>
      <c r="R86" s="11" t="n">
        <v>4028</v>
      </c>
      <c r="S86" s="11" t="n">
        <v>2970</v>
      </c>
      <c r="T86" s="11" t="n">
        <v>14688</v>
      </c>
      <c r="U86" s="11" t="n">
        <v>120</v>
      </c>
      <c r="V86" s="11" t="n">
        <v>16006</v>
      </c>
      <c r="W86" s="11" t="n">
        <v>101</v>
      </c>
      <c r="X86" s="11" t="n">
        <v>2097</v>
      </c>
      <c r="Y86" s="11" t="n">
        <v>37699</v>
      </c>
      <c r="Z86" s="11" t="n">
        <v>2504</v>
      </c>
      <c r="AA86" s="11" t="n">
        <v>0</v>
      </c>
      <c r="AB86" s="11" t="n">
        <v>14986</v>
      </c>
      <c r="AC86" s="11" t="n">
        <v>101</v>
      </c>
      <c r="AD86" s="11" t="n">
        <v>139</v>
      </c>
      <c r="AE86" s="11" t="n">
        <v>46</v>
      </c>
      <c r="AF86" s="11" t="n">
        <v>904</v>
      </c>
      <c r="AG86" s="11" t="n">
        <v>25</v>
      </c>
      <c r="AH86" s="11" t="n">
        <v>0</v>
      </c>
      <c r="AI86" s="11" t="n">
        <v>92361</v>
      </c>
      <c r="AJ86" s="11" t="n">
        <v>8357</v>
      </c>
      <c r="AK86" s="11" t="n">
        <v>13</v>
      </c>
      <c r="AL86" s="11" t="n">
        <v>8370</v>
      </c>
      <c r="AM86" s="11" t="n">
        <v>100731</v>
      </c>
      <c r="AN86" s="11" t="n">
        <v>6926</v>
      </c>
      <c r="AO86" s="11" t="n">
        <v>3</v>
      </c>
      <c r="AP86" s="11" t="n">
        <v>6</v>
      </c>
      <c r="AQ86" s="11" t="n">
        <v>12</v>
      </c>
      <c r="AR86" s="11" t="n">
        <v>0</v>
      </c>
      <c r="AS86" s="11" t="n">
        <v>6947</v>
      </c>
      <c r="AT86" s="11" t="n">
        <v>366</v>
      </c>
      <c r="AU86" s="11" t="n">
        <v>0</v>
      </c>
      <c r="AV86" s="11" t="n">
        <v>0</v>
      </c>
      <c r="AW86" s="11" t="n">
        <v>45</v>
      </c>
      <c r="AX86" s="11" t="n">
        <v>0</v>
      </c>
      <c r="AY86" s="11" t="n">
        <v>411</v>
      </c>
      <c r="AZ86" s="11" t="n">
        <v>259</v>
      </c>
      <c r="BA86" s="11" t="n">
        <v>9</v>
      </c>
      <c r="BB86" s="11" t="n">
        <v>541</v>
      </c>
      <c r="BC86" s="11" t="n">
        <v>13</v>
      </c>
      <c r="BD86" s="11" t="n">
        <v>0</v>
      </c>
      <c r="BE86" s="11" t="n">
        <v>822</v>
      </c>
      <c r="BF86" s="11" t="n">
        <v>3974</v>
      </c>
      <c r="BG86" s="11" t="n">
        <v>0</v>
      </c>
      <c r="BH86" s="11" t="n">
        <v>845</v>
      </c>
      <c r="BI86" s="11" t="n">
        <v>149</v>
      </c>
      <c r="BJ86" s="11" t="n">
        <v>77</v>
      </c>
      <c r="BK86" s="11" t="n">
        <v>4</v>
      </c>
      <c r="BL86" s="11" t="n">
        <v>22</v>
      </c>
      <c r="BM86" s="11" t="n">
        <v>11</v>
      </c>
      <c r="BN86" s="11" t="n">
        <v>324</v>
      </c>
      <c r="BO86" s="11" t="n">
        <v>9</v>
      </c>
      <c r="BP86" s="11" t="n">
        <v>1200</v>
      </c>
      <c r="BQ86" s="11" t="n">
        <v>6615</v>
      </c>
      <c r="BR86" s="11" t="n">
        <v>7437</v>
      </c>
      <c r="BS86" s="11" t="n">
        <v>119554</v>
      </c>
    </row>
    <row r="87">
      <c r="A87" s="11" t="n">
        <v>2023</v>
      </c>
      <c r="B87" t="inlineStr">
        <is>
          <t>Sud</t>
        </is>
      </c>
      <c r="C87" t="inlineStr">
        <is>
          <t>Provence-Alpes-C�te d'Azur</t>
        </is>
      </c>
      <c r="D87" t="inlineStr">
        <is>
          <t>84</t>
        </is>
      </c>
      <c r="E87" t="inlineStr">
        <is>
          <t>Vaucluse</t>
        </is>
      </c>
      <c r="F87" t="inlineStr">
        <is>
          <t>B</t>
        </is>
      </c>
      <c r="G87" s="11" t="n">
        <v>1004</v>
      </c>
      <c r="H87" s="11" t="n">
        <v>162</v>
      </c>
      <c r="I87" s="11" t="n">
        <v>0</v>
      </c>
      <c r="J87" s="11" t="n">
        <v>93</v>
      </c>
      <c r="K87" s="11" t="n">
        <v>40</v>
      </c>
      <c r="L87" s="11" t="n">
        <v>0</v>
      </c>
      <c r="M87" s="11" t="n">
        <v>11</v>
      </c>
      <c r="N87" s="11" t="n">
        <v>362</v>
      </c>
      <c r="O87" s="11" t="n">
        <v>551</v>
      </c>
      <c r="P87" s="11" t="n">
        <v>1083</v>
      </c>
      <c r="Q87" s="11" t="n">
        <v>331</v>
      </c>
      <c r="R87" s="11" t="n">
        <v>3475</v>
      </c>
      <c r="S87" s="11" t="n">
        <v>812</v>
      </c>
      <c r="T87" s="11" t="n">
        <v>7243</v>
      </c>
      <c r="U87" s="11" t="n">
        <v>624</v>
      </c>
      <c r="V87" s="11" t="n">
        <v>3791</v>
      </c>
      <c r="W87" s="11" t="n">
        <v>0</v>
      </c>
      <c r="X87" s="11" t="n">
        <v>598</v>
      </c>
      <c r="Y87" s="11" t="n">
        <v>12621</v>
      </c>
      <c r="Z87" s="11" t="n">
        <v>2468</v>
      </c>
      <c r="AA87" s="11" t="n">
        <v>0</v>
      </c>
      <c r="AB87" s="11" t="n">
        <v>5134</v>
      </c>
      <c r="AC87" s="11" t="n">
        <v>518</v>
      </c>
      <c r="AD87" s="11" t="n">
        <v>26</v>
      </c>
      <c r="AE87" s="11" t="n">
        <v>0</v>
      </c>
      <c r="AF87" s="11" t="n">
        <v>423</v>
      </c>
      <c r="AG87" s="11" t="n">
        <v>35</v>
      </c>
      <c r="AH87" s="11" t="n">
        <v>53</v>
      </c>
      <c r="AI87" s="11" t="n">
        <v>34311</v>
      </c>
      <c r="AJ87" s="11" t="n">
        <v>35</v>
      </c>
      <c r="AK87" s="11" t="n">
        <v>21</v>
      </c>
      <c r="AL87" s="11" t="n">
        <v>56</v>
      </c>
      <c r="AM87" s="11" t="n">
        <v>34367</v>
      </c>
      <c r="AN87" s="11" t="n">
        <v>3259</v>
      </c>
      <c r="AO87" s="11" t="n">
        <v>8</v>
      </c>
      <c r="AP87" s="11" t="n">
        <v>4</v>
      </c>
      <c r="AQ87" s="11" t="n">
        <v>1</v>
      </c>
      <c r="AR87" s="11" t="n">
        <v>0</v>
      </c>
      <c r="AS87" s="11" t="n">
        <v>3272</v>
      </c>
      <c r="AT87" s="11" t="n">
        <v>310</v>
      </c>
      <c r="AU87" s="11" t="n">
        <v>113</v>
      </c>
      <c r="AV87" s="11" t="n">
        <v>0</v>
      </c>
      <c r="AW87" s="11" t="n">
        <v>24</v>
      </c>
      <c r="AX87" s="11" t="n">
        <v>0</v>
      </c>
      <c r="AY87" s="11" t="n">
        <v>447</v>
      </c>
      <c r="AZ87" s="11" t="n">
        <v>2</v>
      </c>
      <c r="BA87" s="11" t="n">
        <v>112</v>
      </c>
      <c r="BB87" s="11" t="n">
        <v>36</v>
      </c>
      <c r="BC87" s="11" t="n">
        <v>0</v>
      </c>
      <c r="BD87" s="11" t="n">
        <v>0</v>
      </c>
      <c r="BE87" s="11" t="n">
        <v>150</v>
      </c>
      <c r="BF87" s="11" t="n">
        <v>0</v>
      </c>
      <c r="BG87" s="11" t="n">
        <v>0</v>
      </c>
      <c r="BH87" s="11" t="n">
        <v>565</v>
      </c>
      <c r="BI87" s="11" t="n">
        <v>15</v>
      </c>
      <c r="BJ87" s="11" t="n">
        <v>135</v>
      </c>
      <c r="BK87" s="11" t="n">
        <v>0</v>
      </c>
      <c r="BL87" s="11" t="n">
        <v>0</v>
      </c>
      <c r="BM87" s="11" t="n">
        <v>130</v>
      </c>
      <c r="BN87" s="11" t="n">
        <v>10</v>
      </c>
      <c r="BO87" s="11" t="n">
        <v>2</v>
      </c>
      <c r="BP87" s="11" t="n">
        <v>622</v>
      </c>
      <c r="BQ87" s="11" t="n">
        <v>1479</v>
      </c>
      <c r="BR87" s="11" t="n">
        <v>1629</v>
      </c>
      <c r="BS87" s="11" t="n">
        <v>43190</v>
      </c>
    </row>
    <row r="88">
      <c r="A88" s="11" t="n">
        <v>2023</v>
      </c>
      <c r="B88" t="inlineStr">
        <is>
          <t>Ouest</t>
        </is>
      </c>
      <c r="C88" t="inlineStr">
        <is>
          <t>Pays de la Loire</t>
        </is>
      </c>
      <c r="D88" t="inlineStr">
        <is>
          <t>85</t>
        </is>
      </c>
      <c r="E88" t="inlineStr">
        <is>
          <t>Vend�e</t>
        </is>
      </c>
      <c r="F88" t="inlineStr">
        <is>
          <t>B</t>
        </is>
      </c>
      <c r="G88" s="11" t="n">
        <v>525</v>
      </c>
      <c r="H88" s="11" t="n">
        <v>210</v>
      </c>
      <c r="I88" s="11" t="n">
        <v>18</v>
      </c>
      <c r="J88" s="11" t="n">
        <v>29</v>
      </c>
      <c r="K88" s="11" t="n">
        <v>44</v>
      </c>
      <c r="L88" s="11" t="n">
        <v>57</v>
      </c>
      <c r="M88" s="11" t="n">
        <v>38</v>
      </c>
      <c r="N88" s="11" t="n">
        <v>67</v>
      </c>
      <c r="O88" s="11" t="n">
        <v>380</v>
      </c>
      <c r="P88" s="11" t="n">
        <v>240</v>
      </c>
      <c r="Q88" s="11" t="n">
        <v>928</v>
      </c>
      <c r="R88" s="11" t="n">
        <v>2326</v>
      </c>
      <c r="S88" s="11" t="n">
        <v>525</v>
      </c>
      <c r="T88" s="11" t="n">
        <v>2444</v>
      </c>
      <c r="U88" s="11" t="n">
        <v>594</v>
      </c>
      <c r="V88" s="11" t="n">
        <v>3063</v>
      </c>
      <c r="W88" s="11" t="n">
        <v>0</v>
      </c>
      <c r="X88" s="11" t="n">
        <v>421</v>
      </c>
      <c r="Y88" s="11" t="n">
        <v>10126</v>
      </c>
      <c r="Z88" s="11" t="n">
        <v>3649</v>
      </c>
      <c r="AA88" s="11" t="n">
        <v>68</v>
      </c>
      <c r="AB88" s="11" t="n">
        <v>3858</v>
      </c>
      <c r="AC88" s="11" t="n">
        <v>889</v>
      </c>
      <c r="AD88" s="11" t="n">
        <v>30</v>
      </c>
      <c r="AE88" s="11" t="n">
        <v>138</v>
      </c>
      <c r="AF88" s="11" t="n">
        <v>1031</v>
      </c>
      <c r="AG88" s="11" t="n">
        <v>24</v>
      </c>
      <c r="AH88" s="11" t="n">
        <v>0</v>
      </c>
      <c r="AI88" s="11" t="n">
        <v>26836</v>
      </c>
      <c r="AJ88" s="11" t="n">
        <v>3665</v>
      </c>
      <c r="AK88" s="11" t="n">
        <v>1897</v>
      </c>
      <c r="AL88" s="11" t="n">
        <v>5562</v>
      </c>
      <c r="AM88" s="11" t="n">
        <v>32398</v>
      </c>
      <c r="AN88" s="11" t="n">
        <v>4460</v>
      </c>
      <c r="AO88" s="11" t="n">
        <v>8</v>
      </c>
      <c r="AP88" s="11" t="n">
        <v>3</v>
      </c>
      <c r="AQ88" s="11" t="n">
        <v>2</v>
      </c>
      <c r="AR88" s="11" t="n">
        <v>0</v>
      </c>
      <c r="AS88" s="11" t="n">
        <v>4473</v>
      </c>
      <c r="AT88" s="11" t="n">
        <v>212</v>
      </c>
      <c r="AU88" s="11" t="n">
        <v>156</v>
      </c>
      <c r="AV88" s="11" t="n">
        <v>0</v>
      </c>
      <c r="AW88" s="11" t="n">
        <v>42</v>
      </c>
      <c r="AX88" s="11" t="n">
        <v>3</v>
      </c>
      <c r="AY88" s="11" t="n">
        <v>413</v>
      </c>
      <c r="AZ88" s="11" t="n">
        <v>323</v>
      </c>
      <c r="BA88" s="11" t="n">
        <v>0</v>
      </c>
      <c r="BB88" s="11" t="n">
        <v>175</v>
      </c>
      <c r="BC88" s="11" t="n">
        <v>0</v>
      </c>
      <c r="BD88" s="11" t="n">
        <v>0</v>
      </c>
      <c r="BE88" s="11" t="n">
        <v>498</v>
      </c>
      <c r="BF88" s="11" t="n">
        <v>141</v>
      </c>
      <c r="BG88" s="11" t="n">
        <v>141</v>
      </c>
      <c r="BH88" s="11" t="n">
        <v>507</v>
      </c>
      <c r="BI88" s="11" t="n">
        <v>0</v>
      </c>
      <c r="BJ88" s="11" t="n">
        <v>1373</v>
      </c>
      <c r="BK88" s="11" t="n">
        <v>0</v>
      </c>
      <c r="BL88" s="11" t="n">
        <v>9</v>
      </c>
      <c r="BM88" s="11" t="n">
        <v>0</v>
      </c>
      <c r="BN88" s="11" t="n">
        <v>5</v>
      </c>
      <c r="BO88" s="11" t="n">
        <v>2</v>
      </c>
      <c r="BP88" s="11" t="n">
        <v>554</v>
      </c>
      <c r="BQ88" s="11" t="n">
        <v>2591</v>
      </c>
      <c r="BR88" s="11" t="n">
        <v>3089</v>
      </c>
      <c r="BS88" s="11" t="n">
        <v>42699</v>
      </c>
    </row>
    <row r="89">
      <c r="A89" s="11" t="n">
        <v>2023</v>
      </c>
      <c r="B89" t="inlineStr">
        <is>
          <t>Sud-ouest</t>
        </is>
      </c>
      <c r="C89" t="inlineStr">
        <is>
          <t>Nouvelle-Aquitaine</t>
        </is>
      </c>
      <c r="D89" t="inlineStr">
        <is>
          <t>86</t>
        </is>
      </c>
      <c r="E89" t="inlineStr">
        <is>
          <t>Vienne</t>
        </is>
      </c>
      <c r="F89" t="inlineStr">
        <is>
          <t>B</t>
        </is>
      </c>
      <c r="G89" s="11" t="n">
        <v>454</v>
      </c>
      <c r="H89" s="11" t="n">
        <v>163</v>
      </c>
      <c r="I89" s="11" t="n">
        <v>24</v>
      </c>
      <c r="J89" s="11" t="n">
        <v>40</v>
      </c>
      <c r="K89" s="11" t="n">
        <v>47</v>
      </c>
      <c r="L89" s="11" t="n">
        <v>0</v>
      </c>
      <c r="M89" s="11" t="n">
        <v>35</v>
      </c>
      <c r="N89" s="11" t="n">
        <v>290</v>
      </c>
      <c r="O89" s="11" t="n">
        <v>278</v>
      </c>
      <c r="P89" s="11" t="n">
        <v>359</v>
      </c>
      <c r="Q89" s="11" t="n">
        <v>81</v>
      </c>
      <c r="R89" s="11" t="n">
        <v>1608</v>
      </c>
      <c r="S89" s="11" t="n">
        <v>137</v>
      </c>
      <c r="T89" s="11" t="n">
        <v>1028</v>
      </c>
      <c r="U89" s="11" t="n">
        <v>0</v>
      </c>
      <c r="V89" s="11" t="n">
        <v>1034</v>
      </c>
      <c r="W89" s="11" t="n">
        <v>0</v>
      </c>
      <c r="X89" s="11" t="n">
        <v>192</v>
      </c>
      <c r="Y89" s="11" t="n">
        <v>4887</v>
      </c>
      <c r="Z89" s="11" t="n">
        <v>225</v>
      </c>
      <c r="AA89" s="11" t="n">
        <v>0</v>
      </c>
      <c r="AB89" s="11" t="n">
        <v>1785</v>
      </c>
      <c r="AC89" s="11" t="n">
        <v>631</v>
      </c>
      <c r="AD89" s="11" t="n">
        <v>20</v>
      </c>
      <c r="AE89" s="11" t="n">
        <v>0</v>
      </c>
      <c r="AF89" s="11" t="n">
        <v>42</v>
      </c>
      <c r="AG89" s="11" t="n">
        <v>24</v>
      </c>
      <c r="AH89" s="11" t="n">
        <v>1191</v>
      </c>
      <c r="AI89" s="11" t="n">
        <v>11172</v>
      </c>
      <c r="AJ89" s="11" t="n">
        <v>60</v>
      </c>
      <c r="AK89" s="11" t="n">
        <v>0</v>
      </c>
      <c r="AL89" s="11" t="n">
        <v>60</v>
      </c>
      <c r="AM89" s="11" t="n">
        <v>11232</v>
      </c>
      <c r="AN89" s="11" t="n">
        <v>2215</v>
      </c>
      <c r="AO89" s="11" t="n">
        <v>0</v>
      </c>
      <c r="AP89" s="11" t="n">
        <v>0</v>
      </c>
      <c r="AQ89" s="11" t="n">
        <v>0</v>
      </c>
      <c r="AR89" s="11" t="n">
        <v>0</v>
      </c>
      <c r="AS89" s="11" t="n">
        <v>2215</v>
      </c>
      <c r="AT89" s="11" t="n">
        <v>154</v>
      </c>
      <c r="AU89" s="11" t="n">
        <v>0</v>
      </c>
      <c r="AV89" s="11" t="n">
        <v>0</v>
      </c>
      <c r="AW89" s="11" t="n">
        <v>8</v>
      </c>
      <c r="AX89" s="11" t="n">
        <v>3</v>
      </c>
      <c r="AY89" s="11" t="n">
        <v>165</v>
      </c>
      <c r="AZ89" s="11" t="n">
        <v>0</v>
      </c>
      <c r="BA89" s="11" t="n">
        <v>640</v>
      </c>
      <c r="BB89" s="11" t="n">
        <v>1066</v>
      </c>
      <c r="BC89" s="11" t="n">
        <v>0</v>
      </c>
      <c r="BD89" s="11" t="n">
        <v>0</v>
      </c>
      <c r="BE89" s="11" t="n">
        <v>1706</v>
      </c>
      <c r="BF89" s="11" t="n">
        <v>0</v>
      </c>
      <c r="BG89" s="11" t="n">
        <v>0</v>
      </c>
      <c r="BH89" s="11" t="n">
        <v>235</v>
      </c>
      <c r="BI89" s="11" t="n">
        <v>178</v>
      </c>
      <c r="BJ89" s="11" t="n">
        <v>753</v>
      </c>
      <c r="BK89" s="11" t="n">
        <v>0</v>
      </c>
      <c r="BL89" s="11" t="n">
        <v>3</v>
      </c>
      <c r="BM89" s="11" t="n">
        <v>47</v>
      </c>
      <c r="BN89" s="11" t="n">
        <v>38</v>
      </c>
      <c r="BO89" s="11" t="n">
        <v>0</v>
      </c>
      <c r="BP89" s="11" t="n">
        <v>836</v>
      </c>
      <c r="BQ89" s="11" t="n">
        <v>2090</v>
      </c>
      <c r="BR89" s="11" t="n">
        <v>3796</v>
      </c>
      <c r="BS89" s="11" t="n">
        <v>19016</v>
      </c>
    </row>
    <row r="90">
      <c r="A90" s="11" t="n">
        <v>2023</v>
      </c>
      <c r="B90" t="inlineStr">
        <is>
          <t>Sud-ouest</t>
        </is>
      </c>
      <c r="C90" t="inlineStr">
        <is>
          <t>Nouvelle-Aquitaine</t>
        </is>
      </c>
      <c r="D90" t="inlineStr">
        <is>
          <t>87</t>
        </is>
      </c>
      <c r="E90" t="inlineStr">
        <is>
          <t>Haute-Vienne</t>
        </is>
      </c>
      <c r="F90" t="inlineStr">
        <is>
          <t>C</t>
        </is>
      </c>
      <c r="G90" s="11" t="n">
        <v>416</v>
      </c>
      <c r="H90" s="11" t="n">
        <v>271</v>
      </c>
      <c r="I90" s="11" t="n">
        <v>2</v>
      </c>
      <c r="J90" s="11" t="n">
        <v>14</v>
      </c>
      <c r="K90" s="11" t="n">
        <v>8</v>
      </c>
      <c r="L90" s="11" t="n">
        <v>7</v>
      </c>
      <c r="M90" s="11" t="n">
        <v>20</v>
      </c>
      <c r="N90" s="11" t="n">
        <v>163</v>
      </c>
      <c r="O90" s="11" t="n">
        <v>209</v>
      </c>
      <c r="P90" s="11" t="n">
        <v>211</v>
      </c>
      <c r="Q90" s="11" t="n">
        <v>228</v>
      </c>
      <c r="R90" s="11" t="n">
        <v>1278</v>
      </c>
      <c r="S90" s="11" t="n">
        <v>357</v>
      </c>
      <c r="T90" s="11" t="n">
        <v>1174</v>
      </c>
      <c r="U90" s="11" t="n">
        <v>459</v>
      </c>
      <c r="V90" s="11" t="n">
        <v>1757</v>
      </c>
      <c r="W90" s="11" t="n">
        <v>0</v>
      </c>
      <c r="X90" s="11" t="n">
        <v>144</v>
      </c>
      <c r="Y90" s="11" t="n">
        <v>5997</v>
      </c>
      <c r="Z90" s="11" t="n">
        <v>425</v>
      </c>
      <c r="AA90" s="11" t="n">
        <v>17</v>
      </c>
      <c r="AB90" s="11" t="n">
        <v>3215</v>
      </c>
      <c r="AC90" s="11" t="n">
        <v>220</v>
      </c>
      <c r="AD90" s="11" t="n">
        <v>9</v>
      </c>
      <c r="AE90" s="11" t="n">
        <v>0</v>
      </c>
      <c r="AF90" s="11" t="n">
        <v>25</v>
      </c>
      <c r="AG90" s="11" t="n">
        <v>24</v>
      </c>
      <c r="AH90" s="11" t="n">
        <v>0</v>
      </c>
      <c r="AI90" s="11" t="n">
        <v>13799</v>
      </c>
      <c r="AJ90" s="11" t="n">
        <v>2942</v>
      </c>
      <c r="AK90" s="11" t="n">
        <v>2</v>
      </c>
      <c r="AL90" s="11" t="n">
        <v>2944</v>
      </c>
      <c r="AM90" s="11" t="n">
        <v>16743</v>
      </c>
      <c r="AN90" s="11" t="n">
        <v>1456</v>
      </c>
      <c r="AO90" s="11" t="n">
        <v>1</v>
      </c>
      <c r="AP90" s="11" t="n">
        <v>1</v>
      </c>
      <c r="AQ90" s="11" t="n">
        <v>0</v>
      </c>
      <c r="AR90" s="11" t="n">
        <v>0</v>
      </c>
      <c r="AS90" s="11" t="n">
        <v>1458</v>
      </c>
      <c r="AT90" s="11" t="n">
        <v>169</v>
      </c>
      <c r="AU90" s="11" t="n">
        <v>72</v>
      </c>
      <c r="AV90" s="11" t="n">
        <v>1</v>
      </c>
      <c r="AW90" s="11" t="n">
        <v>18</v>
      </c>
      <c r="AX90" s="11" t="n">
        <v>0</v>
      </c>
      <c r="AY90" s="11" t="n">
        <v>260</v>
      </c>
      <c r="AZ90" s="11" t="n">
        <v>270</v>
      </c>
      <c r="BA90" s="11" t="n">
        <v>120</v>
      </c>
      <c r="BB90" s="11" t="n">
        <v>225</v>
      </c>
      <c r="BC90" s="11" t="n">
        <v>0</v>
      </c>
      <c r="BD90" s="11" t="n">
        <v>8</v>
      </c>
      <c r="BE90" s="11" t="n">
        <v>623</v>
      </c>
      <c r="BF90" s="11" t="n">
        <v>153</v>
      </c>
      <c r="BG90" s="11" t="n">
        <v>0</v>
      </c>
      <c r="BH90" s="11" t="n">
        <v>158</v>
      </c>
      <c r="BI90" s="11" t="n">
        <v>2</v>
      </c>
      <c r="BJ90" s="11" t="n">
        <v>12</v>
      </c>
      <c r="BK90" s="11" t="n">
        <v>0</v>
      </c>
      <c r="BL90" s="11" t="n">
        <v>3</v>
      </c>
      <c r="BM90" s="11" t="n">
        <v>153</v>
      </c>
      <c r="BN90" s="11" t="n">
        <v>0</v>
      </c>
      <c r="BO90" s="11" t="n">
        <v>3</v>
      </c>
      <c r="BP90" s="11" t="n">
        <v>98</v>
      </c>
      <c r="BQ90" s="11" t="n">
        <v>582</v>
      </c>
      <c r="BR90" s="11" t="n">
        <v>1205</v>
      </c>
      <c r="BS90" s="11" t="n">
        <v>20944</v>
      </c>
    </row>
    <row r="91">
      <c r="A91" s="11" t="n">
        <v>2023</v>
      </c>
      <c r="B91" t="inlineStr">
        <is>
          <t>Est</t>
        </is>
      </c>
      <c r="C91" t="inlineStr">
        <is>
          <t>Grand Est</t>
        </is>
      </c>
      <c r="D91" t="inlineStr">
        <is>
          <t>88</t>
        </is>
      </c>
      <c r="E91" t="inlineStr">
        <is>
          <t>Vosges</t>
        </is>
      </c>
      <c r="F91" t="inlineStr">
        <is>
          <t>C</t>
        </is>
      </c>
      <c r="G91" s="11" t="n">
        <v>665</v>
      </c>
      <c r="H91" s="11" t="n">
        <v>395</v>
      </c>
      <c r="I91" s="11" t="n">
        <v>4</v>
      </c>
      <c r="J91" s="11" t="n">
        <v>45</v>
      </c>
      <c r="K91" s="11" t="n">
        <v>24</v>
      </c>
      <c r="L91" s="11" t="n">
        <v>0</v>
      </c>
      <c r="M91" s="11" t="n">
        <v>18</v>
      </c>
      <c r="N91" s="11" t="n">
        <v>306</v>
      </c>
      <c r="O91" s="11" t="n">
        <v>218</v>
      </c>
      <c r="P91" s="11" t="n">
        <v>288</v>
      </c>
      <c r="Q91" s="11" t="n">
        <v>292</v>
      </c>
      <c r="R91" s="11" t="n">
        <v>1860</v>
      </c>
      <c r="S91" s="11" t="n">
        <v>505</v>
      </c>
      <c r="T91" s="11" t="n">
        <v>3532</v>
      </c>
      <c r="U91" s="11" t="n">
        <v>0</v>
      </c>
      <c r="V91" s="11" t="n">
        <v>2578</v>
      </c>
      <c r="W91" s="11" t="n">
        <v>101</v>
      </c>
      <c r="X91" s="11" t="n">
        <v>245</v>
      </c>
      <c r="Y91" s="11" t="n">
        <v>6637</v>
      </c>
      <c r="Z91" s="11" t="n">
        <v>1138</v>
      </c>
      <c r="AA91" s="11" t="n">
        <v>0</v>
      </c>
      <c r="AB91" s="11" t="n">
        <v>3358</v>
      </c>
      <c r="AC91" s="11" t="n">
        <v>1148</v>
      </c>
      <c r="AD91" s="11" t="n">
        <v>12</v>
      </c>
      <c r="AE91" s="11" t="n">
        <v>0</v>
      </c>
      <c r="AF91" s="11" t="n">
        <v>22</v>
      </c>
      <c r="AG91" s="11" t="n">
        <v>22</v>
      </c>
      <c r="AH91" s="11" t="n">
        <v>498</v>
      </c>
      <c r="AI91" s="11" t="n">
        <v>19774</v>
      </c>
      <c r="AJ91" s="11" t="n">
        <v>1422</v>
      </c>
      <c r="AK91" s="11" t="n">
        <v>8</v>
      </c>
      <c r="AL91" s="11" t="n">
        <v>1430</v>
      </c>
      <c r="AM91" s="11" t="n">
        <v>21204</v>
      </c>
      <c r="AN91" s="11" t="n">
        <v>1592</v>
      </c>
      <c r="AO91" s="11" t="n">
        <v>5</v>
      </c>
      <c r="AP91" s="11" t="n">
        <v>0</v>
      </c>
      <c r="AQ91" s="11" t="n">
        <v>0</v>
      </c>
      <c r="AR91" s="11" t="n">
        <v>0</v>
      </c>
      <c r="AS91" s="11" t="n">
        <v>1597</v>
      </c>
      <c r="AT91" s="11" t="n">
        <v>141</v>
      </c>
      <c r="AU91" s="11" t="n">
        <v>152</v>
      </c>
      <c r="AV91" s="11" t="n">
        <v>74</v>
      </c>
      <c r="AW91" s="11" t="n">
        <v>72</v>
      </c>
      <c r="AX91" s="11" t="n">
        <v>0</v>
      </c>
      <c r="AY91" s="11" t="n">
        <v>439</v>
      </c>
      <c r="AZ91" s="11" t="n">
        <v>329</v>
      </c>
      <c r="BA91" s="11" t="n">
        <v>334</v>
      </c>
      <c r="BB91" s="11" t="n">
        <v>49</v>
      </c>
      <c r="BC91" s="11" t="n">
        <v>0</v>
      </c>
      <c r="BD91" s="11" t="n">
        <v>0</v>
      </c>
      <c r="BE91" s="11" t="n">
        <v>712</v>
      </c>
      <c r="BF91" s="11" t="n">
        <v>0</v>
      </c>
      <c r="BG91" s="11" t="n">
        <v>0</v>
      </c>
      <c r="BH91" s="11" t="n">
        <v>324</v>
      </c>
      <c r="BI91" s="11" t="n">
        <v>455</v>
      </c>
      <c r="BJ91" s="11" t="n">
        <v>322</v>
      </c>
      <c r="BK91" s="11" t="n">
        <v>0</v>
      </c>
      <c r="BL91" s="11" t="n">
        <v>2</v>
      </c>
      <c r="BM91" s="11" t="n">
        <v>47</v>
      </c>
      <c r="BN91" s="11" t="n">
        <v>34</v>
      </c>
      <c r="BO91" s="11" t="n">
        <v>0</v>
      </c>
      <c r="BP91" s="11" t="n">
        <v>334</v>
      </c>
      <c r="BQ91" s="11" t="n">
        <v>1518</v>
      </c>
      <c r="BR91" s="11" t="n">
        <v>2230</v>
      </c>
      <c r="BS91" s="11" t="n">
        <v>27330</v>
      </c>
    </row>
    <row r="92">
      <c r="A92" s="11" t="n">
        <v>2023</v>
      </c>
      <c r="B92" t="inlineStr">
        <is>
          <t>Est</t>
        </is>
      </c>
      <c r="C92" t="inlineStr">
        <is>
          <t>Bourgogne-Franche-Comt�</t>
        </is>
      </c>
      <c r="D92" t="inlineStr">
        <is>
          <t>89</t>
        </is>
      </c>
      <c r="E92" t="inlineStr">
        <is>
          <t>Yonne</t>
        </is>
      </c>
      <c r="F92" t="inlineStr">
        <is>
          <t>C</t>
        </is>
      </c>
      <c r="G92" s="11" t="n">
        <v>418</v>
      </c>
      <c r="H92" s="11" t="n">
        <v>262</v>
      </c>
      <c r="I92" s="11" t="n">
        <v>7</v>
      </c>
      <c r="J92" s="11" t="n">
        <v>17</v>
      </c>
      <c r="K92" s="11" t="n">
        <v>9</v>
      </c>
      <c r="L92" s="11" t="n">
        <v>9</v>
      </c>
      <c r="M92" s="11" t="n">
        <v>12</v>
      </c>
      <c r="N92" s="11" t="n">
        <v>178</v>
      </c>
      <c r="O92" s="11" t="n">
        <v>400</v>
      </c>
      <c r="P92" s="11" t="n">
        <v>425</v>
      </c>
      <c r="Q92" s="11" t="n">
        <v>406</v>
      </c>
      <c r="R92" s="11" t="n">
        <v>1881</v>
      </c>
      <c r="S92" s="11" t="n">
        <v>0</v>
      </c>
      <c r="T92" s="11" t="n">
        <v>59</v>
      </c>
      <c r="U92" s="11" t="n">
        <v>0</v>
      </c>
      <c r="V92" s="11" t="n">
        <v>1863</v>
      </c>
      <c r="W92" s="11" t="n">
        <v>0</v>
      </c>
      <c r="X92" s="11" t="n">
        <v>0</v>
      </c>
      <c r="Y92" s="11" t="n">
        <v>4502</v>
      </c>
      <c r="Z92" s="11" t="n">
        <v>3488</v>
      </c>
      <c r="AA92" s="11" t="n">
        <v>0</v>
      </c>
      <c r="AB92" s="11" t="n">
        <v>1880</v>
      </c>
      <c r="AC92" s="11" t="n">
        <v>328</v>
      </c>
      <c r="AD92" s="11" t="n">
        <v>8</v>
      </c>
      <c r="AE92" s="11" t="n">
        <v>0</v>
      </c>
      <c r="AF92" s="11" t="n">
        <v>19</v>
      </c>
      <c r="AG92" s="11" t="n">
        <v>12</v>
      </c>
      <c r="AH92" s="11" t="n">
        <v>18</v>
      </c>
      <c r="AI92" s="11" t="n">
        <v>12165</v>
      </c>
      <c r="AJ92" s="11" t="n">
        <v>145</v>
      </c>
      <c r="AK92" s="11" t="n">
        <v>12</v>
      </c>
      <c r="AL92" s="11" t="n">
        <v>157</v>
      </c>
      <c r="AM92" s="11" t="n">
        <v>12322</v>
      </c>
      <c r="AN92" s="11" t="n">
        <v>1536</v>
      </c>
      <c r="AO92" s="11" t="n">
        <v>4</v>
      </c>
      <c r="AP92" s="11" t="n">
        <v>0</v>
      </c>
      <c r="AQ92" s="11" t="n">
        <v>1</v>
      </c>
      <c r="AR92" s="11" t="n">
        <v>109</v>
      </c>
      <c r="AS92" s="11" t="n">
        <v>1650</v>
      </c>
      <c r="AT92" s="11" t="n">
        <v>82</v>
      </c>
      <c r="AU92" s="11" t="n">
        <v>183</v>
      </c>
      <c r="AV92" s="11" t="n">
        <v>104</v>
      </c>
      <c r="AW92" s="11" t="n">
        <v>16</v>
      </c>
      <c r="AX92" s="11" t="n">
        <v>1</v>
      </c>
      <c r="AY92" s="11" t="n">
        <v>386</v>
      </c>
      <c r="AZ92" s="11" t="n">
        <v>132</v>
      </c>
      <c r="BA92" s="11" t="n">
        <v>185</v>
      </c>
      <c r="BB92" s="11" t="n">
        <v>23</v>
      </c>
      <c r="BC92" s="11" t="n">
        <v>0</v>
      </c>
      <c r="BD92" s="11" t="n">
        <v>13</v>
      </c>
      <c r="BE92" s="11" t="n">
        <v>353</v>
      </c>
      <c r="BF92" s="11" t="n">
        <v>81</v>
      </c>
      <c r="BG92" s="11" t="n">
        <v>81</v>
      </c>
      <c r="BH92" s="11" t="n">
        <v>267</v>
      </c>
      <c r="BI92" s="11" t="n">
        <v>20</v>
      </c>
      <c r="BJ92" s="11" t="n">
        <v>660</v>
      </c>
      <c r="BK92" s="11" t="n">
        <v>0</v>
      </c>
      <c r="BL92" s="11" t="n">
        <v>8</v>
      </c>
      <c r="BM92" s="11" t="n">
        <v>47</v>
      </c>
      <c r="BN92" s="11" t="n">
        <v>29</v>
      </c>
      <c r="BO92" s="11" t="n">
        <v>0</v>
      </c>
      <c r="BP92" s="11" t="n">
        <v>118</v>
      </c>
      <c r="BQ92" s="11" t="n">
        <v>1230</v>
      </c>
      <c r="BR92" s="11" t="n">
        <v>1583</v>
      </c>
      <c r="BS92" s="11" t="n">
        <v>17822</v>
      </c>
    </row>
    <row r="93">
      <c r="A93" s="11" t="n">
        <v>2023</v>
      </c>
      <c r="B93" t="inlineStr">
        <is>
          <t>Est</t>
        </is>
      </c>
      <c r="C93" t="inlineStr">
        <is>
          <t>Bourgogne-Franche-Comt�</t>
        </is>
      </c>
      <c r="D93" t="inlineStr">
        <is>
          <t>90</t>
        </is>
      </c>
      <c r="E93" t="inlineStr">
        <is>
          <t>Territoire-de-Belfort</t>
        </is>
      </c>
      <c r="F93" t="inlineStr">
        <is>
          <t>C</t>
        </is>
      </c>
      <c r="G93" s="11" t="n">
        <v>293</v>
      </c>
      <c r="H93" s="11" t="n">
        <v>72</v>
      </c>
      <c r="I93" s="11" t="n">
        <v>1</v>
      </c>
      <c r="J93" s="11" t="n">
        <v>19</v>
      </c>
      <c r="K93" s="11" t="n">
        <v>12</v>
      </c>
      <c r="L93" s="11" t="n">
        <v>0</v>
      </c>
      <c r="M93" s="11" t="n">
        <v>0</v>
      </c>
      <c r="N93" s="11" t="n">
        <v>136</v>
      </c>
      <c r="O93" s="11" t="n">
        <v>127</v>
      </c>
      <c r="P93" s="11" t="n">
        <v>74</v>
      </c>
      <c r="Q93" s="11" t="n">
        <v>32</v>
      </c>
      <c r="R93" s="11" t="n">
        <v>694</v>
      </c>
      <c r="S93" s="11" t="n">
        <v>277</v>
      </c>
      <c r="T93" s="11" t="n">
        <v>625</v>
      </c>
      <c r="U93" s="11" t="n">
        <v>246</v>
      </c>
      <c r="V93" s="11" t="n">
        <v>1004</v>
      </c>
      <c r="W93" s="11" t="n">
        <v>12</v>
      </c>
      <c r="X93" s="11" t="n">
        <v>152</v>
      </c>
      <c r="Y93" s="11" t="n">
        <v>2885</v>
      </c>
      <c r="Z93" s="11" t="n">
        <v>392</v>
      </c>
      <c r="AA93" s="11" t="n">
        <v>0</v>
      </c>
      <c r="AB93" s="11" t="n">
        <v>1287</v>
      </c>
      <c r="AC93" s="11" t="n">
        <v>22</v>
      </c>
      <c r="AD93" s="11" t="n">
        <v>8</v>
      </c>
      <c r="AE93" s="11" t="n">
        <v>0</v>
      </c>
      <c r="AF93" s="11" t="n">
        <v>99</v>
      </c>
      <c r="AG93" s="11" t="n">
        <v>20</v>
      </c>
      <c r="AH93" s="11" t="n">
        <v>0</v>
      </c>
      <c r="AI93" s="11" t="n">
        <v>7009</v>
      </c>
      <c r="AJ93" s="11" t="n">
        <v>715</v>
      </c>
      <c r="AK93" s="11" t="n">
        <v>1</v>
      </c>
      <c r="AL93" s="11" t="n">
        <v>716</v>
      </c>
      <c r="AM93" s="11" t="n">
        <v>7725</v>
      </c>
      <c r="AN93" s="11" t="n">
        <v>511</v>
      </c>
      <c r="AO93" s="11" t="n">
        <v>2</v>
      </c>
      <c r="AP93" s="11" t="n">
        <v>1</v>
      </c>
      <c r="AQ93" s="11" t="n">
        <v>0</v>
      </c>
      <c r="AR93" s="11" t="n">
        <v>0</v>
      </c>
      <c r="AS93" s="11" t="n">
        <v>514</v>
      </c>
      <c r="AT93" s="11" t="n">
        <v>91</v>
      </c>
      <c r="AU93" s="11" t="n">
        <v>44</v>
      </c>
      <c r="AV93" s="11" t="n">
        <v>60</v>
      </c>
      <c r="AW93" s="11" t="n">
        <v>23</v>
      </c>
      <c r="AX93" s="11" t="n">
        <v>44</v>
      </c>
      <c r="AY93" s="11" t="n">
        <v>262</v>
      </c>
      <c r="AZ93" s="11" t="n">
        <v>131</v>
      </c>
      <c r="BA93" s="11" t="n">
        <v>53</v>
      </c>
      <c r="BB93" s="11" t="n">
        <v>78</v>
      </c>
      <c r="BC93" s="11" t="n">
        <v>0</v>
      </c>
      <c r="BD93" s="11" t="n">
        <v>0</v>
      </c>
      <c r="BE93" s="11" t="n">
        <v>262</v>
      </c>
      <c r="BF93" s="11" t="n">
        <v>2</v>
      </c>
      <c r="BG93" s="11" t="n">
        <v>0</v>
      </c>
      <c r="BH93" s="11" t="n">
        <v>177</v>
      </c>
      <c r="BI93" s="11" t="n">
        <v>17</v>
      </c>
      <c r="BJ93" s="11" t="n">
        <v>49</v>
      </c>
      <c r="BK93" s="11" t="n">
        <v>1</v>
      </c>
      <c r="BL93" s="11" t="n">
        <v>5</v>
      </c>
      <c r="BM93" s="11" t="n">
        <v>57</v>
      </c>
      <c r="BN93" s="11" t="n">
        <v>0</v>
      </c>
      <c r="BO93" s="11" t="n">
        <v>1</v>
      </c>
      <c r="BP93" s="11" t="n">
        <v>94</v>
      </c>
      <c r="BQ93" s="11" t="n">
        <v>403</v>
      </c>
      <c r="BR93" s="11" t="n">
        <v>665</v>
      </c>
      <c r="BS93" s="11" t="n">
        <v>9860</v>
      </c>
    </row>
    <row r="94">
      <c r="A94" s="11" t="n">
        <v>2023</v>
      </c>
      <c r="B94" t="inlineStr">
        <is>
          <t>�le-de-France</t>
        </is>
      </c>
      <c r="C94" t="inlineStr">
        <is>
          <t>�le-de-France</t>
        </is>
      </c>
      <c r="D94" t="inlineStr">
        <is>
          <t>91</t>
        </is>
      </c>
      <c r="E94" t="inlineStr">
        <is>
          <t>Essonne</t>
        </is>
      </c>
      <c r="F94" t="inlineStr">
        <is>
          <t>A</t>
        </is>
      </c>
      <c r="G94" s="11" t="n">
        <v>1115</v>
      </c>
      <c r="H94" s="11" t="n">
        <v>187</v>
      </c>
      <c r="I94" s="11" t="n">
        <v>95</v>
      </c>
      <c r="J94" s="11" t="n">
        <v>148</v>
      </c>
      <c r="K94" s="11" t="n">
        <v>79</v>
      </c>
      <c r="L94" s="11" t="n">
        <v>0</v>
      </c>
      <c r="M94" s="11" t="n">
        <v>6</v>
      </c>
      <c r="N94" s="11" t="n">
        <v>1020</v>
      </c>
      <c r="O94" s="11" t="n">
        <v>1157</v>
      </c>
      <c r="P94" s="11" t="n">
        <v>548</v>
      </c>
      <c r="Q94" s="11" t="n">
        <v>483</v>
      </c>
      <c r="R94" s="11" t="n">
        <v>4651</v>
      </c>
      <c r="S94" s="11" t="n">
        <v>512</v>
      </c>
      <c r="T94" s="11" t="n">
        <v>8406</v>
      </c>
      <c r="U94" s="11" t="n">
        <v>1506</v>
      </c>
      <c r="V94" s="11" t="n">
        <v>7875</v>
      </c>
      <c r="W94" s="11" t="n">
        <v>0</v>
      </c>
      <c r="X94" s="11" t="n">
        <v>807</v>
      </c>
      <c r="Y94" s="11" t="n">
        <v>24974</v>
      </c>
      <c r="Z94" s="11" t="n">
        <v>3767</v>
      </c>
      <c r="AA94" s="11" t="n">
        <v>373</v>
      </c>
      <c r="AB94" s="11" t="n">
        <v>15716</v>
      </c>
      <c r="AC94" s="11" t="n">
        <v>0</v>
      </c>
      <c r="AD94" s="11" t="n">
        <v>24</v>
      </c>
      <c r="AE94" s="11" t="n">
        <v>0</v>
      </c>
      <c r="AF94" s="11" t="n">
        <v>99</v>
      </c>
      <c r="AG94" s="11" t="n">
        <v>99</v>
      </c>
      <c r="AH94" s="11" t="n">
        <v>6705</v>
      </c>
      <c r="AI94" s="11" t="n">
        <v>70764</v>
      </c>
      <c r="AJ94" s="11" t="n">
        <v>6014</v>
      </c>
      <c r="AK94" s="11" t="n">
        <v>117</v>
      </c>
      <c r="AL94" s="11" t="n">
        <v>6131</v>
      </c>
      <c r="AM94" s="11" t="n">
        <v>76895</v>
      </c>
      <c r="AN94" s="11" t="n">
        <v>5155</v>
      </c>
      <c r="AO94" s="11" t="n">
        <v>1</v>
      </c>
      <c r="AP94" s="11" t="n">
        <v>3</v>
      </c>
      <c r="AQ94" s="11" t="n">
        <v>14</v>
      </c>
      <c r="AR94" s="11" t="n">
        <v>0</v>
      </c>
      <c r="AS94" s="11" t="n">
        <v>5173</v>
      </c>
      <c r="AT94" s="11" t="n">
        <v>331</v>
      </c>
      <c r="AU94" s="11" t="n">
        <v>595</v>
      </c>
      <c r="AV94" s="11" t="n">
        <v>0</v>
      </c>
      <c r="AW94" s="11" t="n">
        <v>51</v>
      </c>
      <c r="AX94" s="11" t="n">
        <v>7</v>
      </c>
      <c r="AY94" s="11" t="n">
        <v>984</v>
      </c>
      <c r="AZ94" s="11" t="n">
        <v>1173</v>
      </c>
      <c r="BA94" s="11" t="n">
        <v>29</v>
      </c>
      <c r="BB94" s="11" t="n">
        <v>722</v>
      </c>
      <c r="BC94" s="11" t="n">
        <v>2</v>
      </c>
      <c r="BD94" s="11" t="n">
        <v>0</v>
      </c>
      <c r="BE94" s="11" t="n">
        <v>1926</v>
      </c>
      <c r="BF94" s="11" t="n">
        <v>221</v>
      </c>
      <c r="BG94" s="11" t="n">
        <v>66</v>
      </c>
      <c r="BH94" s="11" t="n">
        <v>804</v>
      </c>
      <c r="BI94" s="11" t="n">
        <v>404</v>
      </c>
      <c r="BJ94" s="11" t="n">
        <v>595</v>
      </c>
      <c r="BK94" s="11" t="n">
        <v>52</v>
      </c>
      <c r="BL94" s="11" t="n">
        <v>21</v>
      </c>
      <c r="BM94" s="11" t="n">
        <v>306</v>
      </c>
      <c r="BN94" s="11" t="n">
        <v>10</v>
      </c>
      <c r="BO94" s="11" t="n">
        <v>1</v>
      </c>
      <c r="BP94" s="11" t="n">
        <v>2225</v>
      </c>
      <c r="BQ94" s="11" t="n">
        <v>4639</v>
      </c>
      <c r="BR94" s="11" t="n">
        <v>6565</v>
      </c>
      <c r="BS94" s="11" t="n">
        <v>94268</v>
      </c>
    </row>
    <row r="95">
      <c r="A95" s="11" t="n">
        <v>2023</v>
      </c>
      <c r="B95" t="inlineStr">
        <is>
          <t>�le-de-France</t>
        </is>
      </c>
      <c r="C95" t="inlineStr">
        <is>
          <t>�le-de-France</t>
        </is>
      </c>
      <c r="D95" t="inlineStr">
        <is>
          <t>95</t>
        </is>
      </c>
      <c r="E95" t="inlineStr">
        <is>
          <t>Val-d'Oise</t>
        </is>
      </c>
      <c r="F95" t="inlineStr">
        <is>
          <t>A</t>
        </is>
      </c>
      <c r="G95" s="11" t="n">
        <v>1045</v>
      </c>
      <c r="H95" s="11" t="n">
        <v>126</v>
      </c>
      <c r="I95" s="11" t="n">
        <v>4</v>
      </c>
      <c r="J95" s="11" t="n">
        <v>196</v>
      </c>
      <c r="K95" s="11" t="n">
        <v>51</v>
      </c>
      <c r="L95" s="11" t="n">
        <v>4</v>
      </c>
      <c r="M95" s="11" t="n">
        <v>4</v>
      </c>
      <c r="N95" s="11" t="n">
        <v>1825</v>
      </c>
      <c r="O95" s="11" t="n">
        <v>1024</v>
      </c>
      <c r="P95" s="11" t="n">
        <v>74</v>
      </c>
      <c r="Q95" s="11" t="n">
        <v>836</v>
      </c>
      <c r="R95" s="11" t="n">
        <v>5063</v>
      </c>
      <c r="S95" s="11" t="n">
        <v>5</v>
      </c>
      <c r="T95" s="11" t="n">
        <v>6666</v>
      </c>
      <c r="U95" s="11" t="n">
        <v>0</v>
      </c>
      <c r="V95" s="11" t="n">
        <v>6438</v>
      </c>
      <c r="W95" s="11" t="n">
        <v>0</v>
      </c>
      <c r="X95" s="11" t="n">
        <v>0</v>
      </c>
      <c r="Y95" s="11" t="n">
        <v>24973</v>
      </c>
      <c r="Z95" s="11" t="n">
        <v>1020</v>
      </c>
      <c r="AA95" s="11" t="n">
        <v>0</v>
      </c>
      <c r="AB95" s="11" t="n">
        <v>12650</v>
      </c>
      <c r="AC95" s="11" t="n">
        <v>1855</v>
      </c>
      <c r="AD95" s="11" t="n">
        <v>12</v>
      </c>
      <c r="AE95" s="11" t="n">
        <v>0</v>
      </c>
      <c r="AF95" s="11" t="n">
        <v>263</v>
      </c>
      <c r="AG95" s="11" t="n">
        <v>137</v>
      </c>
      <c r="AH95" s="11" t="n">
        <v>810</v>
      </c>
      <c r="AI95" s="11" t="n">
        <v>54692</v>
      </c>
      <c r="AJ95" s="11" t="n">
        <v>7200</v>
      </c>
      <c r="AK95" s="11" t="n">
        <v>3058</v>
      </c>
      <c r="AL95" s="11" t="n">
        <v>10258</v>
      </c>
      <c r="AM95" s="11" t="n">
        <v>64950</v>
      </c>
      <c r="AN95" s="11" t="n">
        <v>5477</v>
      </c>
      <c r="AO95" s="11" t="n">
        <v>17</v>
      </c>
      <c r="AP95" s="11" t="n">
        <v>2</v>
      </c>
      <c r="AQ95" s="11" t="n">
        <v>3</v>
      </c>
      <c r="AR95" s="11" t="n">
        <v>0</v>
      </c>
      <c r="AS95" s="11" t="n">
        <v>5499</v>
      </c>
      <c r="AT95" s="11" t="n">
        <v>699</v>
      </c>
      <c r="AU95" s="11" t="n">
        <v>355</v>
      </c>
      <c r="AV95" s="11" t="n">
        <v>195</v>
      </c>
      <c r="AW95" s="11" t="n">
        <v>45</v>
      </c>
      <c r="AX95" s="11" t="n">
        <v>232</v>
      </c>
      <c r="AY95" s="11" t="n">
        <v>1526</v>
      </c>
      <c r="AZ95" s="11" t="n">
        <v>308</v>
      </c>
      <c r="BA95" s="11" t="n">
        <v>1670</v>
      </c>
      <c r="BB95" s="11" t="n">
        <v>333</v>
      </c>
      <c r="BC95" s="11" t="n">
        <v>5</v>
      </c>
      <c r="BD95" s="11" t="n">
        <v>22</v>
      </c>
      <c r="BE95" s="11" t="n">
        <v>2338</v>
      </c>
      <c r="BF95" s="11" t="n">
        <v>0</v>
      </c>
      <c r="BG95" s="11" t="n">
        <v>0</v>
      </c>
      <c r="BH95" s="11" t="n">
        <v>1020</v>
      </c>
      <c r="BI95" s="11" t="n">
        <v>165</v>
      </c>
      <c r="BJ95" s="11" t="n">
        <v>46</v>
      </c>
      <c r="BK95" s="11" t="n">
        <v>0</v>
      </c>
      <c r="BL95" s="11" t="n">
        <v>22</v>
      </c>
      <c r="BM95" s="11" t="n">
        <v>220</v>
      </c>
      <c r="BN95" s="11" t="n">
        <v>19</v>
      </c>
      <c r="BO95" s="11" t="n">
        <v>1</v>
      </c>
      <c r="BP95" s="11" t="n">
        <v>896</v>
      </c>
      <c r="BQ95" s="11" t="n">
        <v>2389</v>
      </c>
      <c r="BR95" s="11" t="n">
        <v>4727</v>
      </c>
      <c r="BS95" s="11" t="n">
        <v>81765</v>
      </c>
    </row>
    <row r="96">
      <c r="A96" s="11" t="n">
        <v>2023</v>
      </c>
      <c r="B96" t="inlineStr">
        <is>
          <t>Antilles</t>
        </is>
      </c>
      <c r="C96" t="inlineStr">
        <is>
          <t>Guadeloupe</t>
        </is>
      </c>
      <c r="D96" t="inlineStr">
        <is>
          <t>971</t>
        </is>
      </c>
      <c r="E96" t="inlineStr">
        <is>
          <t>Guadeloupe</t>
        </is>
      </c>
      <c r="F96" t="inlineStr">
        <is>
          <t>B</t>
        </is>
      </c>
      <c r="G96" s="11" t="n">
        <v>224</v>
      </c>
      <c r="H96" s="11" t="n">
        <v>0</v>
      </c>
      <c r="I96" s="11" t="n">
        <v>6</v>
      </c>
      <c r="J96" s="11" t="n">
        <v>21</v>
      </c>
      <c r="K96" s="11" t="n">
        <v>8</v>
      </c>
      <c r="L96" s="11" t="n">
        <v>20</v>
      </c>
      <c r="M96" s="11" t="n">
        <v>0</v>
      </c>
      <c r="N96" s="11" t="n">
        <v>420</v>
      </c>
      <c r="O96" s="11" t="n">
        <v>284</v>
      </c>
      <c r="P96" s="11" t="n">
        <v>522</v>
      </c>
      <c r="Q96" s="11" t="n">
        <v>498</v>
      </c>
      <c r="R96" s="11" t="n">
        <v>2003</v>
      </c>
      <c r="S96" s="11" t="n">
        <v>331</v>
      </c>
      <c r="T96" s="11" t="n">
        <v>1241</v>
      </c>
      <c r="U96" s="11" t="n">
        <v>479</v>
      </c>
      <c r="V96" s="11" t="n">
        <v>1058</v>
      </c>
      <c r="W96" s="11" t="n">
        <v>31</v>
      </c>
      <c r="X96" s="11" t="n">
        <v>586</v>
      </c>
      <c r="Y96" s="11" t="n">
        <v>8546</v>
      </c>
      <c r="Z96" s="11" t="n">
        <v>882</v>
      </c>
      <c r="AA96" s="11" t="n">
        <v>75</v>
      </c>
      <c r="AB96" s="11" t="n">
        <v>5009</v>
      </c>
      <c r="AC96" s="11" t="n">
        <v>413</v>
      </c>
      <c r="AD96" s="11" t="n">
        <v>17</v>
      </c>
      <c r="AE96" s="11" t="n">
        <v>31</v>
      </c>
      <c r="AF96" s="11" t="n">
        <v>138</v>
      </c>
      <c r="AG96" s="11" t="n">
        <v>0</v>
      </c>
      <c r="AH96" s="11" t="n">
        <v>12015</v>
      </c>
      <c r="AI96" s="11" t="n">
        <v>30852</v>
      </c>
      <c r="AJ96" s="11" t="n">
        <v>388</v>
      </c>
      <c r="AK96" s="11" t="n">
        <v>14</v>
      </c>
      <c r="AL96" s="11" t="n">
        <v>402</v>
      </c>
      <c r="AM96" s="11" t="n">
        <v>31254</v>
      </c>
      <c r="AN96" s="11" t="n">
        <v>2793</v>
      </c>
      <c r="AO96" s="11" t="n">
        <v>0</v>
      </c>
      <c r="AP96" s="11" t="n">
        <v>2</v>
      </c>
      <c r="AQ96" s="11" t="n">
        <v>10</v>
      </c>
      <c r="AR96" s="11" t="n">
        <v>0</v>
      </c>
      <c r="AS96" s="11" t="n">
        <v>2805</v>
      </c>
      <c r="AT96" s="11" t="n">
        <v>34</v>
      </c>
      <c r="AU96" s="11" t="n">
        <v>18</v>
      </c>
      <c r="AV96" s="11" t="n">
        <v>21</v>
      </c>
      <c r="AW96" s="11" t="n">
        <v>5</v>
      </c>
      <c r="AX96" s="11" t="n">
        <v>5</v>
      </c>
      <c r="AY96" s="11" t="n">
        <v>83</v>
      </c>
      <c r="AZ96" s="11" t="n">
        <v>100</v>
      </c>
      <c r="BA96" s="11" t="n">
        <v>300</v>
      </c>
      <c r="BB96" s="11" t="n">
        <v>153</v>
      </c>
      <c r="BC96" s="11" t="n">
        <v>0</v>
      </c>
      <c r="BD96" s="11" t="n">
        <v>0</v>
      </c>
      <c r="BE96" s="11" t="n">
        <v>553</v>
      </c>
      <c r="BF96" s="11" t="n">
        <v>0</v>
      </c>
      <c r="BG96" s="11" t="n">
        <v>0</v>
      </c>
      <c r="BH96" s="11" t="n">
        <v>136</v>
      </c>
      <c r="BI96" s="11" t="n">
        <v>4</v>
      </c>
      <c r="BJ96" s="11" t="n">
        <v>18</v>
      </c>
      <c r="BK96" s="11" t="n">
        <v>9</v>
      </c>
      <c r="BL96" s="11" t="n">
        <v>5</v>
      </c>
      <c r="BM96" s="11" t="n">
        <v>0</v>
      </c>
      <c r="BN96" s="11" t="n">
        <v>0</v>
      </c>
      <c r="BO96" s="11" t="n">
        <v>0</v>
      </c>
      <c r="BP96" s="11" t="n">
        <v>0</v>
      </c>
      <c r="BQ96" s="11" t="n">
        <v>172</v>
      </c>
      <c r="BR96" s="11" t="n">
        <v>725</v>
      </c>
      <c r="BS96" s="11" t="n">
        <v>36870</v>
      </c>
    </row>
    <row r="97">
      <c r="A97" s="11" t="n">
        <v>2023</v>
      </c>
      <c r="B97" t="inlineStr">
        <is>
          <t>Antilles</t>
        </is>
      </c>
      <c r="C97" t="inlineStr">
        <is>
          <t>Martinique</t>
        </is>
      </c>
      <c r="D97" t="inlineStr">
        <is>
          <t>972</t>
        </is>
      </c>
      <c r="E97" t="inlineStr">
        <is>
          <t>Martinique</t>
        </is>
      </c>
      <c r="F97" t="inlineStr">
        <is>
          <t>C</t>
        </is>
      </c>
      <c r="G97" s="11" t="n">
        <v>152</v>
      </c>
      <c r="H97" s="11" t="n">
        <v>0</v>
      </c>
      <c r="I97" s="11" t="n">
        <v>7</v>
      </c>
      <c r="J97" s="11" t="n">
        <v>9</v>
      </c>
      <c r="K97" s="11" t="n">
        <v>14</v>
      </c>
      <c r="L97" s="11" t="n">
        <v>0</v>
      </c>
      <c r="M97" s="11" t="n">
        <v>2</v>
      </c>
      <c r="N97" s="11" t="n">
        <v>110</v>
      </c>
      <c r="O97" s="11" t="n">
        <v>294</v>
      </c>
      <c r="P97" s="11" t="n">
        <v>383</v>
      </c>
      <c r="Q97" s="11" t="n">
        <v>293</v>
      </c>
      <c r="R97" s="11" t="n">
        <v>1264</v>
      </c>
      <c r="S97" s="11" t="n">
        <v>382</v>
      </c>
      <c r="T97" s="11" t="n">
        <v>2267</v>
      </c>
      <c r="U97" s="11" t="n">
        <v>256</v>
      </c>
      <c r="V97" s="11" t="n">
        <v>10827</v>
      </c>
      <c r="W97" s="11" t="n">
        <v>27</v>
      </c>
      <c r="X97" s="11" t="n">
        <v>446</v>
      </c>
      <c r="Y97" s="11" t="n">
        <v>5268</v>
      </c>
      <c r="Z97" s="11" t="n">
        <v>465</v>
      </c>
      <c r="AA97" s="11" t="n">
        <v>78</v>
      </c>
      <c r="AB97" s="11" t="n">
        <v>4305</v>
      </c>
      <c r="AC97" s="11" t="n">
        <v>126</v>
      </c>
      <c r="AD97" s="11" t="n">
        <v>20</v>
      </c>
      <c r="AE97" s="11" t="n">
        <v>104</v>
      </c>
      <c r="AF97" s="11" t="n">
        <v>245</v>
      </c>
      <c r="AG97" s="11" t="n">
        <v>3</v>
      </c>
      <c r="AH97" s="11" t="n">
        <v>1097</v>
      </c>
      <c r="AI97" s="11" t="n">
        <v>25913</v>
      </c>
      <c r="AJ97" s="11" t="n">
        <v>471</v>
      </c>
      <c r="AK97" s="11" t="n">
        <v>28</v>
      </c>
      <c r="AL97" s="11" t="n">
        <v>499</v>
      </c>
      <c r="AM97" s="11" t="n">
        <v>26412</v>
      </c>
      <c r="AN97" s="11" t="n">
        <v>2274</v>
      </c>
      <c r="AO97" s="11" t="n">
        <v>0</v>
      </c>
      <c r="AP97" s="11" t="n">
        <v>1</v>
      </c>
      <c r="AQ97" s="11" t="n">
        <v>18</v>
      </c>
      <c r="AR97" s="11" t="n">
        <v>0</v>
      </c>
      <c r="AS97" s="11" t="n">
        <v>2293</v>
      </c>
      <c r="AT97" s="11" t="n">
        <v>27</v>
      </c>
      <c r="AU97" s="11" t="n">
        <v>7</v>
      </c>
      <c r="AV97" s="11" t="n">
        <v>71</v>
      </c>
      <c r="AW97" s="11" t="n">
        <v>4</v>
      </c>
      <c r="AX97" s="11" t="n">
        <v>35</v>
      </c>
      <c r="AY97" s="11" t="n">
        <v>144</v>
      </c>
      <c r="AZ97" s="11" t="n">
        <v>36</v>
      </c>
      <c r="BA97" s="11" t="n">
        <v>17</v>
      </c>
      <c r="BB97" s="11" t="n">
        <v>0</v>
      </c>
      <c r="BC97" s="11" t="n">
        <v>0</v>
      </c>
      <c r="BD97" s="11" t="n">
        <v>0</v>
      </c>
      <c r="BE97" s="11" t="n">
        <v>53</v>
      </c>
      <c r="BF97" s="11" t="n">
        <v>2</v>
      </c>
      <c r="BG97" s="11" t="n">
        <v>2</v>
      </c>
      <c r="BH97" s="11" t="n">
        <v>68</v>
      </c>
      <c r="BI97" s="11" t="n">
        <v>18</v>
      </c>
      <c r="BJ97" s="11" t="n">
        <v>111</v>
      </c>
      <c r="BK97" s="11" t="n">
        <v>0</v>
      </c>
      <c r="BL97" s="11" t="n">
        <v>11</v>
      </c>
      <c r="BM97" s="11" t="n">
        <v>0</v>
      </c>
      <c r="BN97" s="11" t="n">
        <v>0</v>
      </c>
      <c r="BO97" s="11" t="n">
        <v>2</v>
      </c>
      <c r="BP97" s="11" t="n">
        <v>863</v>
      </c>
      <c r="BQ97" s="11" t="n">
        <v>1075</v>
      </c>
      <c r="BR97" s="11" t="n">
        <v>1128</v>
      </c>
      <c r="BS97" s="11" t="n">
        <v>31241</v>
      </c>
    </row>
    <row r="98">
      <c r="A98" s="11" t="n">
        <v>2023</v>
      </c>
      <c r="B98" t="inlineStr">
        <is>
          <t>Guyane</t>
        </is>
      </c>
      <c r="C98" t="inlineStr">
        <is>
          <t>Guyane</t>
        </is>
      </c>
      <c r="D98" t="inlineStr">
        <is>
          <t>973</t>
        </is>
      </c>
      <c r="E98" t="inlineStr">
        <is>
          <t>Guyane</t>
        </is>
      </c>
      <c r="F98" t="inlineStr">
        <is>
          <t>C</t>
        </is>
      </c>
      <c r="G98" s="11" t="n">
        <v>189</v>
      </c>
      <c r="H98" s="11" t="n">
        <v>0</v>
      </c>
      <c r="I98" s="11" t="n">
        <v>0</v>
      </c>
      <c r="J98" s="11" t="n">
        <v>25</v>
      </c>
      <c r="K98" s="11" t="n">
        <v>113</v>
      </c>
      <c r="L98" s="11" t="n">
        <v>1</v>
      </c>
      <c r="M98" s="11" t="n">
        <v>0</v>
      </c>
      <c r="N98" s="11" t="n">
        <v>197</v>
      </c>
      <c r="O98" s="11" t="n">
        <v>205</v>
      </c>
      <c r="P98" s="11" t="n">
        <v>1696</v>
      </c>
      <c r="Q98" s="11" t="n">
        <v>84</v>
      </c>
      <c r="R98" s="11" t="n">
        <v>2510</v>
      </c>
      <c r="S98" s="11" t="n">
        <v>215</v>
      </c>
      <c r="T98" s="11" t="n">
        <v>1003</v>
      </c>
      <c r="U98" s="11" t="n">
        <v>352</v>
      </c>
      <c r="V98" s="11" t="n">
        <v>4190</v>
      </c>
      <c r="W98" s="11" t="n">
        <v>0</v>
      </c>
      <c r="X98" s="11" t="n">
        <v>206</v>
      </c>
      <c r="Y98" s="11" t="n">
        <v>4604</v>
      </c>
      <c r="Z98" s="11" t="n">
        <v>387</v>
      </c>
      <c r="AA98" s="11" t="n">
        <v>0</v>
      </c>
      <c r="AB98" s="11" t="n">
        <v>8</v>
      </c>
      <c r="AC98" s="11" t="n">
        <v>322</v>
      </c>
      <c r="AD98" s="11" t="n">
        <v>32</v>
      </c>
      <c r="AE98" s="11" t="n">
        <v>1</v>
      </c>
      <c r="AF98" s="11" t="n">
        <v>7</v>
      </c>
      <c r="AG98" s="11" t="n">
        <v>0</v>
      </c>
      <c r="AH98" s="11" t="n">
        <v>1777</v>
      </c>
      <c r="AI98" s="11" t="n">
        <v>13104</v>
      </c>
      <c r="AJ98" s="11" t="n">
        <v>325</v>
      </c>
      <c r="AK98" s="11" t="n">
        <v>28</v>
      </c>
      <c r="AL98" s="11" t="n">
        <v>353</v>
      </c>
      <c r="AM98" s="11" t="n">
        <v>13457</v>
      </c>
      <c r="AN98" s="11" t="n">
        <v>2027</v>
      </c>
      <c r="AO98" s="11" t="n">
        <v>0</v>
      </c>
      <c r="AP98" s="11" t="n">
        <v>0</v>
      </c>
      <c r="AQ98" s="11" t="n">
        <v>13</v>
      </c>
      <c r="AR98" s="11" t="n">
        <v>0</v>
      </c>
      <c r="AS98" s="11" t="n">
        <v>2040</v>
      </c>
      <c r="AT98" s="11" t="n">
        <v>5</v>
      </c>
      <c r="AU98" s="11" t="n">
        <v>0</v>
      </c>
      <c r="AV98" s="11" t="n">
        <v>0</v>
      </c>
      <c r="AW98" s="11" t="n">
        <v>2</v>
      </c>
      <c r="AX98" s="11" t="n">
        <v>0</v>
      </c>
      <c r="AY98" s="11" t="n">
        <v>7</v>
      </c>
      <c r="AZ98" s="11" t="n">
        <v>4</v>
      </c>
      <c r="BA98" s="11" t="n">
        <v>20</v>
      </c>
      <c r="BB98" s="11" t="n">
        <v>64</v>
      </c>
      <c r="BC98" s="11" t="n">
        <v>0</v>
      </c>
      <c r="BD98" s="11" t="n">
        <v>0</v>
      </c>
      <c r="BE98" s="11" t="n">
        <v>88</v>
      </c>
      <c r="BF98" s="11" t="n">
        <v>877</v>
      </c>
      <c r="BG98" s="11" t="n">
        <v>0</v>
      </c>
      <c r="BH98" s="11" t="n">
        <v>346</v>
      </c>
      <c r="BI98" s="11" t="n">
        <v>397</v>
      </c>
      <c r="BJ98" s="11" t="n">
        <v>1</v>
      </c>
      <c r="BK98" s="11" t="n">
        <v>0</v>
      </c>
      <c r="BL98" s="11" t="n">
        <v>2</v>
      </c>
      <c r="BM98" s="11" t="n">
        <v>4</v>
      </c>
      <c r="BN98" s="11" t="n">
        <v>18</v>
      </c>
      <c r="BO98" s="11" t="n">
        <v>0</v>
      </c>
      <c r="BP98" s="11" t="n">
        <v>748</v>
      </c>
      <c r="BQ98" s="11" t="n">
        <v>2393</v>
      </c>
      <c r="BR98" s="11" t="n">
        <v>2481</v>
      </c>
      <c r="BS98" s="11" t="n">
        <v>20495</v>
      </c>
    </row>
    <row r="99">
      <c r="A99" s="11" t="n">
        <v>2023</v>
      </c>
      <c r="B99" t="inlineStr">
        <is>
          <t>Oc�an indien</t>
        </is>
      </c>
      <c r="C99" t="inlineStr">
        <is>
          <t>La R�union</t>
        </is>
      </c>
      <c r="D99" t="inlineStr">
        <is>
          <t>974</t>
        </is>
      </c>
      <c r="E99" t="inlineStr">
        <is>
          <t>R�union</t>
        </is>
      </c>
      <c r="F99" t="inlineStr">
        <is>
          <t>B</t>
        </is>
      </c>
      <c r="G99" s="11" t="n">
        <v>373</v>
      </c>
      <c r="H99" s="11" t="n">
        <v>0</v>
      </c>
      <c r="I99" s="11" t="n">
        <v>24</v>
      </c>
      <c r="J99" s="11" t="n">
        <v>71</v>
      </c>
      <c r="K99" s="11" t="n">
        <v>28</v>
      </c>
      <c r="L99" s="11" t="n">
        <v>0</v>
      </c>
      <c r="M99" s="11" t="n">
        <v>7</v>
      </c>
      <c r="N99" s="11" t="n">
        <v>1147</v>
      </c>
      <c r="O99" s="11" t="n">
        <v>596</v>
      </c>
      <c r="P99" s="11" t="n">
        <v>1068</v>
      </c>
      <c r="Q99" s="11" t="n">
        <v>194</v>
      </c>
      <c r="R99" s="11" t="n">
        <v>3508</v>
      </c>
      <c r="S99" s="11" t="n">
        <v>325</v>
      </c>
      <c r="T99" s="11" t="n">
        <v>1985</v>
      </c>
      <c r="U99" s="11" t="n">
        <v>595</v>
      </c>
      <c r="V99" s="11" t="n">
        <v>2492</v>
      </c>
      <c r="W99" s="11" t="n">
        <v>7</v>
      </c>
      <c r="X99" s="11" t="n">
        <v>695</v>
      </c>
      <c r="Y99" s="11" t="n">
        <v>11596</v>
      </c>
      <c r="Z99" s="11" t="n">
        <v>2249</v>
      </c>
      <c r="AA99" s="11" t="n">
        <v>129</v>
      </c>
      <c r="AB99" s="11" t="n">
        <v>10578</v>
      </c>
      <c r="AC99" s="11" t="n">
        <v>1230</v>
      </c>
      <c r="AD99" s="11" t="n">
        <v>52</v>
      </c>
      <c r="AE99" s="11" t="n">
        <v>67</v>
      </c>
      <c r="AF99" s="11" t="n">
        <v>9</v>
      </c>
      <c r="AG99" s="11" t="n">
        <v>7</v>
      </c>
      <c r="AH99" s="11" t="n">
        <v>11547</v>
      </c>
      <c r="AI99" s="11" t="n">
        <v>43556</v>
      </c>
      <c r="AJ99" s="11" t="n">
        <v>333</v>
      </c>
      <c r="AK99" s="11" t="n">
        <v>7</v>
      </c>
      <c r="AL99" s="11" t="n">
        <v>340</v>
      </c>
      <c r="AM99" s="11" t="n">
        <v>43896</v>
      </c>
      <c r="AN99" s="11" t="n">
        <v>7602</v>
      </c>
      <c r="AO99" s="11" t="n">
        <v>0</v>
      </c>
      <c r="AP99" s="11" t="n">
        <v>2</v>
      </c>
      <c r="AQ99" s="11" t="n">
        <v>0</v>
      </c>
      <c r="AR99" s="11" t="n">
        <v>0</v>
      </c>
      <c r="AS99" s="11" t="n">
        <v>7604</v>
      </c>
      <c r="AT99" s="11" t="n">
        <v>28</v>
      </c>
      <c r="AU99" s="11" t="n">
        <v>0</v>
      </c>
      <c r="AV99" s="11" t="n">
        <v>0</v>
      </c>
      <c r="AW99" s="11" t="n">
        <v>3</v>
      </c>
      <c r="AX99" s="11" t="n">
        <v>0</v>
      </c>
      <c r="AY99" s="11" t="n">
        <v>31</v>
      </c>
      <c r="AZ99" s="11" t="n">
        <v>0</v>
      </c>
      <c r="BA99" s="11" t="n">
        <v>198</v>
      </c>
      <c r="BB99" s="11" t="n">
        <v>111</v>
      </c>
      <c r="BC99" s="11" t="n">
        <v>0</v>
      </c>
      <c r="BD99" s="11" t="n">
        <v>0</v>
      </c>
      <c r="BE99" s="11" t="n">
        <v>309</v>
      </c>
      <c r="BF99" s="11" t="n">
        <v>0</v>
      </c>
      <c r="BG99" s="11" t="n">
        <v>0</v>
      </c>
      <c r="BH99" s="11" t="n">
        <v>952</v>
      </c>
      <c r="BI99" s="11" t="n">
        <v>14</v>
      </c>
      <c r="BJ99" s="11" t="n">
        <v>194</v>
      </c>
      <c r="BK99" s="11" t="n">
        <v>0</v>
      </c>
      <c r="BL99" s="11" t="n">
        <v>8</v>
      </c>
      <c r="BM99" s="11" t="n">
        <v>0</v>
      </c>
      <c r="BN99" s="11" t="n">
        <v>0</v>
      </c>
      <c r="BO99" s="11" t="n">
        <v>11</v>
      </c>
      <c r="BP99" s="11" t="n">
        <v>0</v>
      </c>
      <c r="BQ99" s="11" t="n">
        <v>1179</v>
      </c>
      <c r="BR99" s="11" t="n">
        <v>1488</v>
      </c>
      <c r="BS99" s="11" t="n">
        <v>56527</v>
      </c>
    </row>
    <row r="100">
      <c r="A100" s="11" t="n">
        <v>2023</v>
      </c>
      <c r="B100" t="inlineStr">
        <is>
          <t>Oc�an indien</t>
        </is>
      </c>
      <c r="C100" t="inlineStr">
        <is>
          <t>Mayotte</t>
        </is>
      </c>
      <c r="D100" t="inlineStr">
        <is>
          <t>976</t>
        </is>
      </c>
      <c r="E100" t="inlineStr">
        <is>
          <t>Mayotte</t>
        </is>
      </c>
      <c r="F100" t="inlineStr">
        <is>
          <t>C</t>
        </is>
      </c>
      <c r="G100" s="11" t="n">
        <v>131</v>
      </c>
      <c r="H100" s="11" t="n">
        <v>0</v>
      </c>
      <c r="I100" s="11" t="n">
        <v>0</v>
      </c>
      <c r="J100" s="11" t="n">
        <v>8</v>
      </c>
      <c r="K100" s="11" t="n">
        <v>5</v>
      </c>
      <c r="L100" s="11" t="n">
        <v>9</v>
      </c>
      <c r="M100" s="11" t="n">
        <v>1</v>
      </c>
      <c r="N100" s="11" t="n">
        <v>274</v>
      </c>
      <c r="O100" s="11" t="n">
        <v>190</v>
      </c>
      <c r="P100" s="11" t="n">
        <v>263</v>
      </c>
      <c r="Q100" s="11" t="n">
        <v>113</v>
      </c>
      <c r="R100" s="11" t="n">
        <v>994</v>
      </c>
      <c r="S100" s="11" t="n">
        <v>129</v>
      </c>
      <c r="T100" s="11" t="n">
        <v>716</v>
      </c>
      <c r="U100" s="11" t="n">
        <v>196</v>
      </c>
      <c r="V100" s="11" t="n">
        <v>1089</v>
      </c>
      <c r="W100" s="11" t="n">
        <v>0</v>
      </c>
      <c r="X100" s="11" t="n">
        <v>330</v>
      </c>
      <c r="Y100" s="11" t="n">
        <v>1570</v>
      </c>
      <c r="Z100" s="11" t="n">
        <v>1530</v>
      </c>
      <c r="AA100" s="11" t="n">
        <v>22</v>
      </c>
      <c r="AB100" s="11" t="n">
        <v>1823</v>
      </c>
      <c r="AC100" s="11" t="n">
        <v>109</v>
      </c>
      <c r="AD100" s="11" t="n">
        <v>18</v>
      </c>
      <c r="AE100" s="11" t="n">
        <v>17</v>
      </c>
      <c r="AF100" s="11" t="n">
        <v>46</v>
      </c>
      <c r="AG100" s="11" t="n">
        <v>5</v>
      </c>
      <c r="AH100" s="11" t="n">
        <v>6219</v>
      </c>
      <c r="AI100" s="11" t="n">
        <v>13814</v>
      </c>
      <c r="AJ100" s="11" t="n">
        <v>3</v>
      </c>
      <c r="AK100" s="11" t="n">
        <v>4</v>
      </c>
      <c r="AL100" s="11" t="n">
        <v>7</v>
      </c>
      <c r="AM100" s="11" t="n">
        <v>13821</v>
      </c>
      <c r="AN100" s="11" t="n">
        <v>1318</v>
      </c>
      <c r="AO100" s="11" t="n">
        <v>0</v>
      </c>
      <c r="AP100" s="11" t="n">
        <v>0</v>
      </c>
      <c r="AQ100" s="11" t="n">
        <v>0</v>
      </c>
      <c r="AR100" s="11" t="n">
        <v>0</v>
      </c>
      <c r="AS100" s="11" t="n">
        <v>1318</v>
      </c>
      <c r="AT100" s="11" t="n">
        <v>4</v>
      </c>
      <c r="AU100" s="11" t="n">
        <v>0</v>
      </c>
      <c r="AV100" s="11" t="n">
        <v>73</v>
      </c>
      <c r="AW100" s="11" t="n">
        <v>4</v>
      </c>
      <c r="AX100" s="11" t="n">
        <v>0</v>
      </c>
      <c r="AY100" s="11" t="n">
        <v>81</v>
      </c>
      <c r="AZ100" s="11" t="n">
        <v>7</v>
      </c>
      <c r="BA100" s="11" t="n">
        <v>0</v>
      </c>
      <c r="BB100" s="11" t="n">
        <v>38</v>
      </c>
      <c r="BC100" s="11" t="n">
        <v>0</v>
      </c>
      <c r="BD100" s="11" t="n">
        <v>0</v>
      </c>
      <c r="BE100" s="11" t="n">
        <v>45</v>
      </c>
      <c r="BF100" s="11" t="n">
        <v>0</v>
      </c>
      <c r="BG100" s="11" t="n">
        <v>0</v>
      </c>
      <c r="BH100" s="11" t="n">
        <v>0</v>
      </c>
      <c r="BI100" s="11" t="n">
        <v>0</v>
      </c>
      <c r="BJ100" s="11" t="n">
        <v>0</v>
      </c>
      <c r="BK100" s="11" t="n">
        <v>0</v>
      </c>
      <c r="BL100" s="11" t="n">
        <v>0</v>
      </c>
      <c r="BM100" s="11" t="n">
        <v>0</v>
      </c>
      <c r="BN100" s="11" t="n">
        <v>0</v>
      </c>
      <c r="BO100" s="11" t="n">
        <v>0</v>
      </c>
      <c r="BP100" s="11" t="n">
        <v>0</v>
      </c>
      <c r="BQ100" s="11" t="n">
        <v>0</v>
      </c>
      <c r="BR100" s="11" t="n">
        <v>45</v>
      </c>
      <c r="BS100" s="11" t="n">
        <v>16259</v>
      </c>
    </row>
  </sheetData>
  <autoFilter ref="A1:BS1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regions</t>
        </is>
      </c>
      <c r="B1" s="1" t="inlineStr">
        <is>
          <t>categories</t>
        </is>
      </c>
    </row>
    <row r="2">
      <c r="A2" t="inlineStr">
        <is>
          <t>Toutes</t>
        </is>
      </c>
      <c r="B2" t="inlineStr">
        <is>
          <t>Toutes</t>
        </is>
      </c>
    </row>
    <row r="3">
      <c r="A3" t="inlineStr">
        <is>
          <t>Auvergne-Rh�ne-Alpes</t>
        </is>
      </c>
      <c r="B3" t="inlineStr">
        <is>
          <t>Incendies</t>
        </is>
      </c>
    </row>
    <row r="4">
      <c r="A4" t="inlineStr">
        <is>
          <t>Bourgogne-Franche-Comt�</t>
        </is>
      </c>
      <c r="B4" t="inlineStr">
        <is>
          <t>Secours à personne</t>
        </is>
      </c>
    </row>
    <row r="5">
      <c r="A5" t="inlineStr">
        <is>
          <t>Bretagne</t>
        </is>
      </c>
      <c r="B5" t="inlineStr">
        <is>
          <t>Accidents</t>
        </is>
      </c>
    </row>
    <row r="6">
      <c r="A6" t="inlineStr">
        <is>
          <t>Centre-Val de Loire</t>
        </is>
      </c>
      <c r="B6" t="inlineStr">
        <is>
          <t>Opérations diverses</t>
        </is>
      </c>
    </row>
    <row r="7">
      <c r="A7" t="inlineStr">
        <is>
          <t>Corse</t>
        </is>
      </c>
    </row>
    <row r="8">
      <c r="A8" t="inlineStr">
        <is>
          <t>Grand Est</t>
        </is>
      </c>
    </row>
    <row r="9">
      <c r="A9" t="inlineStr">
        <is>
          <t>Guadeloupe</t>
        </is>
      </c>
    </row>
    <row r="10">
      <c r="A10" t="inlineStr">
        <is>
          <t>Guyane</t>
        </is>
      </c>
    </row>
    <row r="11">
      <c r="A11" t="inlineStr">
        <is>
          <t>Hauts-de-France</t>
        </is>
      </c>
    </row>
    <row r="12">
      <c r="A12" t="inlineStr">
        <is>
          <t>La R�union</t>
        </is>
      </c>
    </row>
    <row r="13">
      <c r="A13" t="inlineStr">
        <is>
          <t>Martinique</t>
        </is>
      </c>
    </row>
    <row r="14">
      <c r="A14" t="inlineStr">
        <is>
          <t>Mayotte</t>
        </is>
      </c>
    </row>
    <row r="15">
      <c r="A15" t="inlineStr">
        <is>
          <t>Normandie</t>
        </is>
      </c>
    </row>
    <row r="16">
      <c r="A16" t="inlineStr">
        <is>
          <t>Nouvelle-Aquitaine</t>
        </is>
      </c>
    </row>
    <row r="17">
      <c r="A17" t="inlineStr">
        <is>
          <t>Occitanie</t>
        </is>
      </c>
    </row>
    <row r="18">
      <c r="A18" t="inlineStr">
        <is>
          <t>Pays de la Loire</t>
        </is>
      </c>
    </row>
    <row r="19">
      <c r="A19" t="inlineStr">
        <is>
          <t>Provence-Alpes-C�te d'Azur</t>
        </is>
      </c>
    </row>
    <row r="20">
      <c r="A20" t="inlineStr">
        <is>
          <t>�le-de-France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departement</t>
        </is>
      </c>
      <c r="B1" t="inlineStr">
        <is>
          <t>incendies</t>
        </is>
      </c>
      <c r="C1" t="inlineStr">
        <is>
          <t>secours_personne</t>
        </is>
      </c>
      <c r="D1" t="inlineStr">
        <is>
          <t>accidents</t>
        </is>
      </c>
      <c r="E1" t="inlineStr">
        <is>
          <t>operations_diverses</t>
        </is>
      </c>
      <c r="F1" t="inlineStr">
        <is>
          <t>total_filtre</t>
        </is>
      </c>
    </row>
    <row r="2">
      <c r="A2" t="inlineStr">
        <is>
          <t>Ain</t>
        </is>
      </c>
      <c r="B2">
        <f>SUMIFS(donnees_nettoyees!$R$2:$R$200,donnees_nettoyees!$E$2:$E$200,A2,donnees_nettoyees!$C$2:$C$200,IF(tableau_de_bord!$C$6="Toutes","*",tableau_de_bord!$C$6))</f>
        <v/>
      </c>
      <c r="C2">
        <f>SUMIFS(donnees_nettoyees!$AM$2:$AM$200,donnees_nettoyees!$E$2:$E$200,A2,donnees_nettoyees!$C$2:$C$200,IF(tableau_de_bord!$C$6="Toutes","*",tableau_de_bord!$C$6))</f>
        <v/>
      </c>
      <c r="D2">
        <f>SUMIFS(donnees_nettoyees!$AS$2:$AS$200,donnees_nettoyees!$E$2:$E$200,A2,donnees_nettoyees!$C$2:$C$200,IF(tableau_de_bord!$C$6="Toutes","*",tableau_de_bord!$C$6))</f>
        <v/>
      </c>
      <c r="E2">
        <f>SUMIFS(donnees_nettoyees!$BR$2:$BR$200,donnees_nettoyees!$E$2:$E$200,A2,donnees_nettoyees!$C$2:$C$200,IF(tableau_de_bord!$C$6="Toutes","*",tableau_de_bord!$C$6))</f>
        <v/>
      </c>
      <c r="F2">
        <f>IF(tableau_de_bord!$F$6="Toutes",SUM(B2:E2),IF(tableau_de_bord!$F$6="Incendies",B2,IF(tableau_de_bord!$F$6="Secours à personne",C2,IF(tableau_de_bord!$F$6="Accidents",D2,IF(tableau_de_bord!$F$6="Opérations diverses",E2,0)))))</f>
        <v/>
      </c>
    </row>
    <row r="3">
      <c r="A3" t="inlineStr">
        <is>
          <t>Aisne</t>
        </is>
      </c>
      <c r="B3">
        <f>SUMIFS(donnees_nettoyees!$R$2:$R$200,donnees_nettoyees!$E$2:$E$200,A3,donnees_nettoyees!$C$2:$C$200,IF(tableau_de_bord!$C$6="Toutes","*",tableau_de_bord!$C$6))</f>
        <v/>
      </c>
      <c r="C3">
        <f>SUMIFS(donnees_nettoyees!$AM$2:$AM$200,donnees_nettoyees!$E$2:$E$200,A3,donnees_nettoyees!$C$2:$C$200,IF(tableau_de_bord!$C$6="Toutes","*",tableau_de_bord!$C$6))</f>
        <v/>
      </c>
      <c r="D3">
        <f>SUMIFS(donnees_nettoyees!$AS$2:$AS$200,donnees_nettoyees!$E$2:$E$200,A3,donnees_nettoyees!$C$2:$C$200,IF(tableau_de_bord!$C$6="Toutes","*",tableau_de_bord!$C$6))</f>
        <v/>
      </c>
      <c r="E3">
        <f>SUMIFS(donnees_nettoyees!$BR$2:$BR$200,donnees_nettoyees!$E$2:$E$200,A3,donnees_nettoyees!$C$2:$C$200,IF(tableau_de_bord!$C$6="Toutes","*",tableau_de_bord!$C$6))</f>
        <v/>
      </c>
      <c r="F3">
        <f>IF(tableau_de_bord!$F$6="Toutes",SUM(B3:E3),IF(tableau_de_bord!$F$6="Incendies",B3,IF(tableau_de_bord!$F$6="Secours à personne",C3,IF(tableau_de_bord!$F$6="Accidents",D3,IF(tableau_de_bord!$F$6="Opérations diverses",E3,0)))))</f>
        <v/>
      </c>
    </row>
    <row r="4">
      <c r="A4" t="inlineStr">
        <is>
          <t>Allier</t>
        </is>
      </c>
      <c r="B4">
        <f>SUMIFS(donnees_nettoyees!$R$2:$R$200,donnees_nettoyees!$E$2:$E$200,A4,donnees_nettoyees!$C$2:$C$200,IF(tableau_de_bord!$C$6="Toutes","*",tableau_de_bord!$C$6))</f>
        <v/>
      </c>
      <c r="C4">
        <f>SUMIFS(donnees_nettoyees!$AM$2:$AM$200,donnees_nettoyees!$E$2:$E$200,A4,donnees_nettoyees!$C$2:$C$200,IF(tableau_de_bord!$C$6="Toutes","*",tableau_de_bord!$C$6))</f>
        <v/>
      </c>
      <c r="D4">
        <f>SUMIFS(donnees_nettoyees!$AS$2:$AS$200,donnees_nettoyees!$E$2:$E$200,A4,donnees_nettoyees!$C$2:$C$200,IF(tableau_de_bord!$C$6="Toutes","*",tableau_de_bord!$C$6))</f>
        <v/>
      </c>
      <c r="E4">
        <f>SUMIFS(donnees_nettoyees!$BR$2:$BR$200,donnees_nettoyees!$E$2:$E$200,A4,donnees_nettoyees!$C$2:$C$200,IF(tableau_de_bord!$C$6="Toutes","*",tableau_de_bord!$C$6))</f>
        <v/>
      </c>
      <c r="F4">
        <f>IF(tableau_de_bord!$F$6="Toutes",SUM(B4:E4),IF(tableau_de_bord!$F$6="Incendies",B4,IF(tableau_de_bord!$F$6="Secours à personne",C4,IF(tableau_de_bord!$F$6="Accidents",D4,IF(tableau_de_bord!$F$6="Opérations diverses",E4,0)))))</f>
        <v/>
      </c>
    </row>
    <row r="5">
      <c r="A5" t="inlineStr">
        <is>
          <t>Alpes-Maritimes</t>
        </is>
      </c>
      <c r="B5">
        <f>SUMIFS(donnees_nettoyees!$R$2:$R$200,donnees_nettoyees!$E$2:$E$200,A5,donnees_nettoyees!$C$2:$C$200,IF(tableau_de_bord!$C$6="Toutes","*",tableau_de_bord!$C$6))</f>
        <v/>
      </c>
      <c r="C5">
        <f>SUMIFS(donnees_nettoyees!$AM$2:$AM$200,donnees_nettoyees!$E$2:$E$200,A5,donnees_nettoyees!$C$2:$C$200,IF(tableau_de_bord!$C$6="Toutes","*",tableau_de_bord!$C$6))</f>
        <v/>
      </c>
      <c r="D5">
        <f>SUMIFS(donnees_nettoyees!$AS$2:$AS$200,donnees_nettoyees!$E$2:$E$200,A5,donnees_nettoyees!$C$2:$C$200,IF(tableau_de_bord!$C$6="Toutes","*",tableau_de_bord!$C$6))</f>
        <v/>
      </c>
      <c r="E5">
        <f>SUMIFS(donnees_nettoyees!$BR$2:$BR$200,donnees_nettoyees!$E$2:$E$200,A5,donnees_nettoyees!$C$2:$C$200,IF(tableau_de_bord!$C$6="Toutes","*",tableau_de_bord!$C$6))</f>
        <v/>
      </c>
      <c r="F5">
        <f>IF(tableau_de_bord!$F$6="Toutes",SUM(B5:E5),IF(tableau_de_bord!$F$6="Incendies",B5,IF(tableau_de_bord!$F$6="Secours à personne",C5,IF(tableau_de_bord!$F$6="Accidents",D5,IF(tableau_de_bord!$F$6="Opérations diverses",E5,0)))))</f>
        <v/>
      </c>
    </row>
    <row r="6">
      <c r="A6" t="inlineStr">
        <is>
          <t>Alpes-de-Haute-Provence</t>
        </is>
      </c>
      <c r="B6">
        <f>SUMIFS(donnees_nettoyees!$R$2:$R$200,donnees_nettoyees!$E$2:$E$200,A6,donnees_nettoyees!$C$2:$C$200,IF(tableau_de_bord!$C$6="Toutes","*",tableau_de_bord!$C$6))</f>
        <v/>
      </c>
      <c r="C6">
        <f>SUMIFS(donnees_nettoyees!$AM$2:$AM$200,donnees_nettoyees!$E$2:$E$200,A6,donnees_nettoyees!$C$2:$C$200,IF(tableau_de_bord!$C$6="Toutes","*",tableau_de_bord!$C$6))</f>
        <v/>
      </c>
      <c r="D6">
        <f>SUMIFS(donnees_nettoyees!$AS$2:$AS$200,donnees_nettoyees!$E$2:$E$200,A6,donnees_nettoyees!$C$2:$C$200,IF(tableau_de_bord!$C$6="Toutes","*",tableau_de_bord!$C$6))</f>
        <v/>
      </c>
      <c r="E6">
        <f>SUMIFS(donnees_nettoyees!$BR$2:$BR$200,donnees_nettoyees!$E$2:$E$200,A6,donnees_nettoyees!$C$2:$C$200,IF(tableau_de_bord!$C$6="Toutes","*",tableau_de_bord!$C$6))</f>
        <v/>
      </c>
      <c r="F6">
        <f>IF(tableau_de_bord!$F$6="Toutes",SUM(B6:E6),IF(tableau_de_bord!$F$6="Incendies",B6,IF(tableau_de_bord!$F$6="Secours à personne",C6,IF(tableau_de_bord!$F$6="Accidents",D6,IF(tableau_de_bord!$F$6="Opérations diverses",E6,0)))))</f>
        <v/>
      </c>
    </row>
    <row r="7">
      <c r="A7" t="inlineStr">
        <is>
          <t>Ardennes</t>
        </is>
      </c>
      <c r="B7">
        <f>SUMIFS(donnees_nettoyees!$R$2:$R$200,donnees_nettoyees!$E$2:$E$200,A7,donnees_nettoyees!$C$2:$C$200,IF(tableau_de_bord!$C$6="Toutes","*",tableau_de_bord!$C$6))</f>
        <v/>
      </c>
      <c r="C7">
        <f>SUMIFS(donnees_nettoyees!$AM$2:$AM$200,donnees_nettoyees!$E$2:$E$200,A7,donnees_nettoyees!$C$2:$C$200,IF(tableau_de_bord!$C$6="Toutes","*",tableau_de_bord!$C$6))</f>
        <v/>
      </c>
      <c r="D7">
        <f>SUMIFS(donnees_nettoyees!$AS$2:$AS$200,donnees_nettoyees!$E$2:$E$200,A7,donnees_nettoyees!$C$2:$C$200,IF(tableau_de_bord!$C$6="Toutes","*",tableau_de_bord!$C$6))</f>
        <v/>
      </c>
      <c r="E7">
        <f>SUMIFS(donnees_nettoyees!$BR$2:$BR$200,donnees_nettoyees!$E$2:$E$200,A7,donnees_nettoyees!$C$2:$C$200,IF(tableau_de_bord!$C$6="Toutes","*",tableau_de_bord!$C$6))</f>
        <v/>
      </c>
      <c r="F7">
        <f>IF(tableau_de_bord!$F$6="Toutes",SUM(B7:E7),IF(tableau_de_bord!$F$6="Incendies",B7,IF(tableau_de_bord!$F$6="Secours à personne",C7,IF(tableau_de_bord!$F$6="Accidents",D7,IF(tableau_de_bord!$F$6="Opérations diverses",E7,0)))))</f>
        <v/>
      </c>
    </row>
    <row r="8">
      <c r="A8" t="inlineStr">
        <is>
          <t>Ard�che</t>
        </is>
      </c>
      <c r="B8">
        <f>SUMIFS(donnees_nettoyees!$R$2:$R$200,donnees_nettoyees!$E$2:$E$200,A8,donnees_nettoyees!$C$2:$C$200,IF(tableau_de_bord!$C$6="Toutes","*",tableau_de_bord!$C$6))</f>
        <v/>
      </c>
      <c r="C8">
        <f>SUMIFS(donnees_nettoyees!$AM$2:$AM$200,donnees_nettoyees!$E$2:$E$200,A8,donnees_nettoyees!$C$2:$C$200,IF(tableau_de_bord!$C$6="Toutes","*",tableau_de_bord!$C$6))</f>
        <v/>
      </c>
      <c r="D8">
        <f>SUMIFS(donnees_nettoyees!$AS$2:$AS$200,donnees_nettoyees!$E$2:$E$200,A8,donnees_nettoyees!$C$2:$C$200,IF(tableau_de_bord!$C$6="Toutes","*",tableau_de_bord!$C$6))</f>
        <v/>
      </c>
      <c r="E8">
        <f>SUMIFS(donnees_nettoyees!$BR$2:$BR$200,donnees_nettoyees!$E$2:$E$200,A8,donnees_nettoyees!$C$2:$C$200,IF(tableau_de_bord!$C$6="Toutes","*",tableau_de_bord!$C$6))</f>
        <v/>
      </c>
      <c r="F8">
        <f>IF(tableau_de_bord!$F$6="Toutes",SUM(B8:E8),IF(tableau_de_bord!$F$6="Incendies",B8,IF(tableau_de_bord!$F$6="Secours à personne",C8,IF(tableau_de_bord!$F$6="Accidents",D8,IF(tableau_de_bord!$F$6="Opérations diverses",E8,0)))))</f>
        <v/>
      </c>
    </row>
    <row r="9">
      <c r="A9" t="inlineStr">
        <is>
          <t>Ari�ge</t>
        </is>
      </c>
      <c r="B9">
        <f>SUMIFS(donnees_nettoyees!$R$2:$R$200,donnees_nettoyees!$E$2:$E$200,A9,donnees_nettoyees!$C$2:$C$200,IF(tableau_de_bord!$C$6="Toutes","*",tableau_de_bord!$C$6))</f>
        <v/>
      </c>
      <c r="C9">
        <f>SUMIFS(donnees_nettoyees!$AM$2:$AM$200,donnees_nettoyees!$E$2:$E$200,A9,donnees_nettoyees!$C$2:$C$200,IF(tableau_de_bord!$C$6="Toutes","*",tableau_de_bord!$C$6))</f>
        <v/>
      </c>
      <c r="D9">
        <f>SUMIFS(donnees_nettoyees!$AS$2:$AS$200,donnees_nettoyees!$E$2:$E$200,A9,donnees_nettoyees!$C$2:$C$200,IF(tableau_de_bord!$C$6="Toutes","*",tableau_de_bord!$C$6))</f>
        <v/>
      </c>
      <c r="E9">
        <f>SUMIFS(donnees_nettoyees!$BR$2:$BR$200,donnees_nettoyees!$E$2:$E$200,A9,donnees_nettoyees!$C$2:$C$200,IF(tableau_de_bord!$C$6="Toutes","*",tableau_de_bord!$C$6))</f>
        <v/>
      </c>
      <c r="F9">
        <f>IF(tableau_de_bord!$F$6="Toutes",SUM(B9:E9),IF(tableau_de_bord!$F$6="Incendies",B9,IF(tableau_de_bord!$F$6="Secours à personne",C9,IF(tableau_de_bord!$F$6="Accidents",D9,IF(tableau_de_bord!$F$6="Opérations diverses",E9,0)))))</f>
        <v/>
      </c>
    </row>
    <row r="10">
      <c r="A10" t="inlineStr">
        <is>
          <t>Aube</t>
        </is>
      </c>
      <c r="B10">
        <f>SUMIFS(donnees_nettoyees!$R$2:$R$200,donnees_nettoyees!$E$2:$E$200,A10,donnees_nettoyees!$C$2:$C$200,IF(tableau_de_bord!$C$6="Toutes","*",tableau_de_bord!$C$6))</f>
        <v/>
      </c>
      <c r="C10">
        <f>SUMIFS(donnees_nettoyees!$AM$2:$AM$200,donnees_nettoyees!$E$2:$E$200,A10,donnees_nettoyees!$C$2:$C$200,IF(tableau_de_bord!$C$6="Toutes","*",tableau_de_bord!$C$6))</f>
        <v/>
      </c>
      <c r="D10">
        <f>SUMIFS(donnees_nettoyees!$AS$2:$AS$200,donnees_nettoyees!$E$2:$E$200,A10,donnees_nettoyees!$C$2:$C$200,IF(tableau_de_bord!$C$6="Toutes","*",tableau_de_bord!$C$6))</f>
        <v/>
      </c>
      <c r="E10">
        <f>SUMIFS(donnees_nettoyees!$BR$2:$BR$200,donnees_nettoyees!$E$2:$E$200,A10,donnees_nettoyees!$C$2:$C$200,IF(tableau_de_bord!$C$6="Toutes","*",tableau_de_bord!$C$6))</f>
        <v/>
      </c>
      <c r="F10">
        <f>IF(tableau_de_bord!$F$6="Toutes",SUM(B10:E10),IF(tableau_de_bord!$F$6="Incendies",B10,IF(tableau_de_bord!$F$6="Secours à personne",C10,IF(tableau_de_bord!$F$6="Accidents",D10,IF(tableau_de_bord!$F$6="Opérations diverses",E10,0)))))</f>
        <v/>
      </c>
    </row>
    <row r="11">
      <c r="A11" t="inlineStr">
        <is>
          <t>Aude</t>
        </is>
      </c>
      <c r="B11">
        <f>SUMIFS(donnees_nettoyees!$R$2:$R$200,donnees_nettoyees!$E$2:$E$200,A11,donnees_nettoyees!$C$2:$C$200,IF(tableau_de_bord!$C$6="Toutes","*",tableau_de_bord!$C$6))</f>
        <v/>
      </c>
      <c r="C11">
        <f>SUMIFS(donnees_nettoyees!$AM$2:$AM$200,donnees_nettoyees!$E$2:$E$200,A11,donnees_nettoyees!$C$2:$C$200,IF(tableau_de_bord!$C$6="Toutes","*",tableau_de_bord!$C$6))</f>
        <v/>
      </c>
      <c r="D11">
        <f>SUMIFS(donnees_nettoyees!$AS$2:$AS$200,donnees_nettoyees!$E$2:$E$200,A11,donnees_nettoyees!$C$2:$C$200,IF(tableau_de_bord!$C$6="Toutes","*",tableau_de_bord!$C$6))</f>
        <v/>
      </c>
      <c r="E11">
        <f>SUMIFS(donnees_nettoyees!$BR$2:$BR$200,donnees_nettoyees!$E$2:$E$200,A11,donnees_nettoyees!$C$2:$C$200,IF(tableau_de_bord!$C$6="Toutes","*",tableau_de_bord!$C$6))</f>
        <v/>
      </c>
      <c r="F11">
        <f>IF(tableau_de_bord!$F$6="Toutes",SUM(B11:E11),IF(tableau_de_bord!$F$6="Incendies",B11,IF(tableau_de_bord!$F$6="Secours à personne",C11,IF(tableau_de_bord!$F$6="Accidents",D11,IF(tableau_de_bord!$F$6="Opérations diverses",E11,0)))))</f>
        <v/>
      </c>
    </row>
    <row r="12">
      <c r="A12" t="inlineStr">
        <is>
          <t>Aveyron</t>
        </is>
      </c>
      <c r="B12">
        <f>SUMIFS(donnees_nettoyees!$R$2:$R$200,donnees_nettoyees!$E$2:$E$200,A12,donnees_nettoyees!$C$2:$C$200,IF(tableau_de_bord!$C$6="Toutes","*",tableau_de_bord!$C$6))</f>
        <v/>
      </c>
      <c r="C12">
        <f>SUMIFS(donnees_nettoyees!$AM$2:$AM$200,donnees_nettoyees!$E$2:$E$200,A12,donnees_nettoyees!$C$2:$C$200,IF(tableau_de_bord!$C$6="Toutes","*",tableau_de_bord!$C$6))</f>
        <v/>
      </c>
      <c r="D12">
        <f>SUMIFS(donnees_nettoyees!$AS$2:$AS$200,donnees_nettoyees!$E$2:$E$200,A12,donnees_nettoyees!$C$2:$C$200,IF(tableau_de_bord!$C$6="Toutes","*",tableau_de_bord!$C$6))</f>
        <v/>
      </c>
      <c r="E12">
        <f>SUMIFS(donnees_nettoyees!$BR$2:$BR$200,donnees_nettoyees!$E$2:$E$200,A12,donnees_nettoyees!$C$2:$C$200,IF(tableau_de_bord!$C$6="Toutes","*",tableau_de_bord!$C$6))</f>
        <v/>
      </c>
      <c r="F12">
        <f>IF(tableau_de_bord!$F$6="Toutes",SUM(B12:E12),IF(tableau_de_bord!$F$6="Incendies",B12,IF(tableau_de_bord!$F$6="Secours à personne",C12,IF(tableau_de_bord!$F$6="Accidents",D12,IF(tableau_de_bord!$F$6="Opérations diverses",E12,0)))))</f>
        <v/>
      </c>
    </row>
    <row r="13">
      <c r="A13" t="inlineStr">
        <is>
          <t>Bas-Rhin</t>
        </is>
      </c>
      <c r="B13">
        <f>SUMIFS(donnees_nettoyees!$R$2:$R$200,donnees_nettoyees!$E$2:$E$200,A13,donnees_nettoyees!$C$2:$C$200,IF(tableau_de_bord!$C$6="Toutes","*",tableau_de_bord!$C$6))</f>
        <v/>
      </c>
      <c r="C13">
        <f>SUMIFS(donnees_nettoyees!$AM$2:$AM$200,donnees_nettoyees!$E$2:$E$200,A13,donnees_nettoyees!$C$2:$C$200,IF(tableau_de_bord!$C$6="Toutes","*",tableau_de_bord!$C$6))</f>
        <v/>
      </c>
      <c r="D13">
        <f>SUMIFS(donnees_nettoyees!$AS$2:$AS$200,donnees_nettoyees!$E$2:$E$200,A13,donnees_nettoyees!$C$2:$C$200,IF(tableau_de_bord!$C$6="Toutes","*",tableau_de_bord!$C$6))</f>
        <v/>
      </c>
      <c r="E13">
        <f>SUMIFS(donnees_nettoyees!$BR$2:$BR$200,donnees_nettoyees!$E$2:$E$200,A13,donnees_nettoyees!$C$2:$C$200,IF(tableau_de_bord!$C$6="Toutes","*",tableau_de_bord!$C$6))</f>
        <v/>
      </c>
      <c r="F13">
        <f>IF(tableau_de_bord!$F$6="Toutes",SUM(B13:E13),IF(tableau_de_bord!$F$6="Incendies",B13,IF(tableau_de_bord!$F$6="Secours à personne",C13,IF(tableau_de_bord!$F$6="Accidents",D13,IF(tableau_de_bord!$F$6="Opérations diverses",E13,0)))))</f>
        <v/>
      </c>
    </row>
    <row r="14">
      <c r="A14" t="inlineStr">
        <is>
          <t>Bouches-du-Rh�ne</t>
        </is>
      </c>
      <c r="B14">
        <f>SUMIFS(donnees_nettoyees!$R$2:$R$200,donnees_nettoyees!$E$2:$E$200,A14,donnees_nettoyees!$C$2:$C$200,IF(tableau_de_bord!$C$6="Toutes","*",tableau_de_bord!$C$6))</f>
        <v/>
      </c>
      <c r="C14">
        <f>SUMIFS(donnees_nettoyees!$AM$2:$AM$200,donnees_nettoyees!$E$2:$E$200,A14,donnees_nettoyees!$C$2:$C$200,IF(tableau_de_bord!$C$6="Toutes","*",tableau_de_bord!$C$6))</f>
        <v/>
      </c>
      <c r="D14">
        <f>SUMIFS(donnees_nettoyees!$AS$2:$AS$200,donnees_nettoyees!$E$2:$E$200,A14,donnees_nettoyees!$C$2:$C$200,IF(tableau_de_bord!$C$6="Toutes","*",tableau_de_bord!$C$6))</f>
        <v/>
      </c>
      <c r="E14">
        <f>SUMIFS(donnees_nettoyees!$BR$2:$BR$200,donnees_nettoyees!$E$2:$E$200,A14,donnees_nettoyees!$C$2:$C$200,IF(tableau_de_bord!$C$6="Toutes","*",tableau_de_bord!$C$6))</f>
        <v/>
      </c>
      <c r="F14">
        <f>IF(tableau_de_bord!$F$6="Toutes",SUM(B14:E14),IF(tableau_de_bord!$F$6="Incendies",B14,IF(tableau_de_bord!$F$6="Secours à personne",C14,IF(tableau_de_bord!$F$6="Accidents",D14,IF(tableau_de_bord!$F$6="Opérations diverses",E14,0)))))</f>
        <v/>
      </c>
    </row>
    <row r="15">
      <c r="A15" t="inlineStr">
        <is>
          <t>Calvados</t>
        </is>
      </c>
      <c r="B15">
        <f>SUMIFS(donnees_nettoyees!$R$2:$R$200,donnees_nettoyees!$E$2:$E$200,A15,donnees_nettoyees!$C$2:$C$200,IF(tableau_de_bord!$C$6="Toutes","*",tableau_de_bord!$C$6))</f>
        <v/>
      </c>
      <c r="C15">
        <f>SUMIFS(donnees_nettoyees!$AM$2:$AM$200,donnees_nettoyees!$E$2:$E$200,A15,donnees_nettoyees!$C$2:$C$200,IF(tableau_de_bord!$C$6="Toutes","*",tableau_de_bord!$C$6))</f>
        <v/>
      </c>
      <c r="D15">
        <f>SUMIFS(donnees_nettoyees!$AS$2:$AS$200,donnees_nettoyees!$E$2:$E$200,A15,donnees_nettoyees!$C$2:$C$200,IF(tableau_de_bord!$C$6="Toutes","*",tableau_de_bord!$C$6))</f>
        <v/>
      </c>
      <c r="E15">
        <f>SUMIFS(donnees_nettoyees!$BR$2:$BR$200,donnees_nettoyees!$E$2:$E$200,A15,donnees_nettoyees!$C$2:$C$200,IF(tableau_de_bord!$C$6="Toutes","*",tableau_de_bord!$C$6))</f>
        <v/>
      </c>
      <c r="F15">
        <f>IF(tableau_de_bord!$F$6="Toutes",SUM(B15:E15),IF(tableau_de_bord!$F$6="Incendies",B15,IF(tableau_de_bord!$F$6="Secours à personne",C15,IF(tableau_de_bord!$F$6="Accidents",D15,IF(tableau_de_bord!$F$6="Opérations diverses",E15,0)))))</f>
        <v/>
      </c>
    </row>
    <row r="16">
      <c r="A16" t="inlineStr">
        <is>
          <t>Cantal</t>
        </is>
      </c>
      <c r="B16">
        <f>SUMIFS(donnees_nettoyees!$R$2:$R$200,donnees_nettoyees!$E$2:$E$200,A16,donnees_nettoyees!$C$2:$C$200,IF(tableau_de_bord!$C$6="Toutes","*",tableau_de_bord!$C$6))</f>
        <v/>
      </c>
      <c r="C16">
        <f>SUMIFS(donnees_nettoyees!$AM$2:$AM$200,donnees_nettoyees!$E$2:$E$200,A16,donnees_nettoyees!$C$2:$C$200,IF(tableau_de_bord!$C$6="Toutes","*",tableau_de_bord!$C$6))</f>
        <v/>
      </c>
      <c r="D16">
        <f>SUMIFS(donnees_nettoyees!$AS$2:$AS$200,donnees_nettoyees!$E$2:$E$200,A16,donnees_nettoyees!$C$2:$C$200,IF(tableau_de_bord!$C$6="Toutes","*",tableau_de_bord!$C$6))</f>
        <v/>
      </c>
      <c r="E16">
        <f>SUMIFS(donnees_nettoyees!$BR$2:$BR$200,donnees_nettoyees!$E$2:$E$200,A16,donnees_nettoyees!$C$2:$C$200,IF(tableau_de_bord!$C$6="Toutes","*",tableau_de_bord!$C$6))</f>
        <v/>
      </c>
      <c r="F16">
        <f>IF(tableau_de_bord!$F$6="Toutes",SUM(B16:E16),IF(tableau_de_bord!$F$6="Incendies",B16,IF(tableau_de_bord!$F$6="Secours à personne",C16,IF(tableau_de_bord!$F$6="Accidents",D16,IF(tableau_de_bord!$F$6="Opérations diverses",E16,0)))))</f>
        <v/>
      </c>
    </row>
    <row r="17">
      <c r="A17" t="inlineStr">
        <is>
          <t>Charente</t>
        </is>
      </c>
      <c r="B17">
        <f>SUMIFS(donnees_nettoyees!$R$2:$R$200,donnees_nettoyees!$E$2:$E$200,A17,donnees_nettoyees!$C$2:$C$200,IF(tableau_de_bord!$C$6="Toutes","*",tableau_de_bord!$C$6))</f>
        <v/>
      </c>
      <c r="C17">
        <f>SUMIFS(donnees_nettoyees!$AM$2:$AM$200,donnees_nettoyees!$E$2:$E$200,A17,donnees_nettoyees!$C$2:$C$200,IF(tableau_de_bord!$C$6="Toutes","*",tableau_de_bord!$C$6))</f>
        <v/>
      </c>
      <c r="D17">
        <f>SUMIFS(donnees_nettoyees!$AS$2:$AS$200,donnees_nettoyees!$E$2:$E$200,A17,donnees_nettoyees!$C$2:$C$200,IF(tableau_de_bord!$C$6="Toutes","*",tableau_de_bord!$C$6))</f>
        <v/>
      </c>
      <c r="E17">
        <f>SUMIFS(donnees_nettoyees!$BR$2:$BR$200,donnees_nettoyees!$E$2:$E$200,A17,donnees_nettoyees!$C$2:$C$200,IF(tableau_de_bord!$C$6="Toutes","*",tableau_de_bord!$C$6))</f>
        <v/>
      </c>
      <c r="F17">
        <f>IF(tableau_de_bord!$F$6="Toutes",SUM(B17:E17),IF(tableau_de_bord!$F$6="Incendies",B17,IF(tableau_de_bord!$F$6="Secours à personne",C17,IF(tableau_de_bord!$F$6="Accidents",D17,IF(tableau_de_bord!$F$6="Opérations diverses",E17,0)))))</f>
        <v/>
      </c>
    </row>
    <row r="18">
      <c r="A18" t="inlineStr">
        <is>
          <t>Charente-Maritime</t>
        </is>
      </c>
      <c r="B18">
        <f>SUMIFS(donnees_nettoyees!$R$2:$R$200,donnees_nettoyees!$E$2:$E$200,A18,donnees_nettoyees!$C$2:$C$200,IF(tableau_de_bord!$C$6="Toutes","*",tableau_de_bord!$C$6))</f>
        <v/>
      </c>
      <c r="C18">
        <f>SUMIFS(donnees_nettoyees!$AM$2:$AM$200,donnees_nettoyees!$E$2:$E$200,A18,donnees_nettoyees!$C$2:$C$200,IF(tableau_de_bord!$C$6="Toutes","*",tableau_de_bord!$C$6))</f>
        <v/>
      </c>
      <c r="D18">
        <f>SUMIFS(donnees_nettoyees!$AS$2:$AS$200,donnees_nettoyees!$E$2:$E$200,A18,donnees_nettoyees!$C$2:$C$200,IF(tableau_de_bord!$C$6="Toutes","*",tableau_de_bord!$C$6))</f>
        <v/>
      </c>
      <c r="E18">
        <f>SUMIFS(donnees_nettoyees!$BR$2:$BR$200,donnees_nettoyees!$E$2:$E$200,A18,donnees_nettoyees!$C$2:$C$200,IF(tableau_de_bord!$C$6="Toutes","*",tableau_de_bord!$C$6))</f>
        <v/>
      </c>
      <c r="F18">
        <f>IF(tableau_de_bord!$F$6="Toutes",SUM(B18:E18),IF(tableau_de_bord!$F$6="Incendies",B18,IF(tableau_de_bord!$F$6="Secours à personne",C18,IF(tableau_de_bord!$F$6="Accidents",D18,IF(tableau_de_bord!$F$6="Opérations diverses",E18,0)))))</f>
        <v/>
      </c>
    </row>
    <row r="19">
      <c r="A19" t="inlineStr">
        <is>
          <t>Cher</t>
        </is>
      </c>
      <c r="B19">
        <f>SUMIFS(donnees_nettoyees!$R$2:$R$200,donnees_nettoyees!$E$2:$E$200,A19,donnees_nettoyees!$C$2:$C$200,IF(tableau_de_bord!$C$6="Toutes","*",tableau_de_bord!$C$6))</f>
        <v/>
      </c>
      <c r="C19">
        <f>SUMIFS(donnees_nettoyees!$AM$2:$AM$200,donnees_nettoyees!$E$2:$E$200,A19,donnees_nettoyees!$C$2:$C$200,IF(tableau_de_bord!$C$6="Toutes","*",tableau_de_bord!$C$6))</f>
        <v/>
      </c>
      <c r="D19">
        <f>SUMIFS(donnees_nettoyees!$AS$2:$AS$200,donnees_nettoyees!$E$2:$E$200,A19,donnees_nettoyees!$C$2:$C$200,IF(tableau_de_bord!$C$6="Toutes","*",tableau_de_bord!$C$6))</f>
        <v/>
      </c>
      <c r="E19">
        <f>SUMIFS(donnees_nettoyees!$BR$2:$BR$200,donnees_nettoyees!$E$2:$E$200,A19,donnees_nettoyees!$C$2:$C$200,IF(tableau_de_bord!$C$6="Toutes","*",tableau_de_bord!$C$6))</f>
        <v/>
      </c>
      <c r="F19">
        <f>IF(tableau_de_bord!$F$6="Toutes",SUM(B19:E19),IF(tableau_de_bord!$F$6="Incendies",B19,IF(tableau_de_bord!$F$6="Secours à personne",C19,IF(tableau_de_bord!$F$6="Accidents",D19,IF(tableau_de_bord!$F$6="Opérations diverses",E19,0)))))</f>
        <v/>
      </c>
    </row>
    <row r="20">
      <c r="A20" t="inlineStr">
        <is>
          <t>Corr�ze</t>
        </is>
      </c>
      <c r="B20">
        <f>SUMIFS(donnees_nettoyees!$R$2:$R$200,donnees_nettoyees!$E$2:$E$200,A20,donnees_nettoyees!$C$2:$C$200,IF(tableau_de_bord!$C$6="Toutes","*",tableau_de_bord!$C$6))</f>
        <v/>
      </c>
      <c r="C20">
        <f>SUMIFS(donnees_nettoyees!$AM$2:$AM$200,donnees_nettoyees!$E$2:$E$200,A20,donnees_nettoyees!$C$2:$C$200,IF(tableau_de_bord!$C$6="Toutes","*",tableau_de_bord!$C$6))</f>
        <v/>
      </c>
      <c r="D20">
        <f>SUMIFS(donnees_nettoyees!$AS$2:$AS$200,donnees_nettoyees!$E$2:$E$200,A20,donnees_nettoyees!$C$2:$C$200,IF(tableau_de_bord!$C$6="Toutes","*",tableau_de_bord!$C$6))</f>
        <v/>
      </c>
      <c r="E20">
        <f>SUMIFS(donnees_nettoyees!$BR$2:$BR$200,donnees_nettoyees!$E$2:$E$200,A20,donnees_nettoyees!$C$2:$C$200,IF(tableau_de_bord!$C$6="Toutes","*",tableau_de_bord!$C$6))</f>
        <v/>
      </c>
      <c r="F20">
        <f>IF(tableau_de_bord!$F$6="Toutes",SUM(B20:E20),IF(tableau_de_bord!$F$6="Incendies",B20,IF(tableau_de_bord!$F$6="Secours à personne",C20,IF(tableau_de_bord!$F$6="Accidents",D20,IF(tableau_de_bord!$F$6="Opérations diverses",E20,0)))))</f>
        <v/>
      </c>
    </row>
    <row r="21">
      <c r="A21" t="inlineStr">
        <is>
          <t>Corse-du-Sud</t>
        </is>
      </c>
      <c r="B21">
        <f>SUMIFS(donnees_nettoyees!$R$2:$R$200,donnees_nettoyees!$E$2:$E$200,A21,donnees_nettoyees!$C$2:$C$200,IF(tableau_de_bord!$C$6="Toutes","*",tableau_de_bord!$C$6))</f>
        <v/>
      </c>
      <c r="C21">
        <f>SUMIFS(donnees_nettoyees!$AM$2:$AM$200,donnees_nettoyees!$E$2:$E$200,A21,donnees_nettoyees!$C$2:$C$200,IF(tableau_de_bord!$C$6="Toutes","*",tableau_de_bord!$C$6))</f>
        <v/>
      </c>
      <c r="D21">
        <f>SUMIFS(donnees_nettoyees!$AS$2:$AS$200,donnees_nettoyees!$E$2:$E$200,A21,donnees_nettoyees!$C$2:$C$200,IF(tableau_de_bord!$C$6="Toutes","*",tableau_de_bord!$C$6))</f>
        <v/>
      </c>
      <c r="E21">
        <f>SUMIFS(donnees_nettoyees!$BR$2:$BR$200,donnees_nettoyees!$E$2:$E$200,A21,donnees_nettoyees!$C$2:$C$200,IF(tableau_de_bord!$C$6="Toutes","*",tableau_de_bord!$C$6))</f>
        <v/>
      </c>
      <c r="F21">
        <f>IF(tableau_de_bord!$F$6="Toutes",SUM(B21:E21),IF(tableau_de_bord!$F$6="Incendies",B21,IF(tableau_de_bord!$F$6="Secours à personne",C21,IF(tableau_de_bord!$F$6="Accidents",D21,IF(tableau_de_bord!$F$6="Opérations diverses",E21,0)))))</f>
        <v/>
      </c>
    </row>
    <row r="22">
      <c r="A22" t="inlineStr">
        <is>
          <t>Creuse</t>
        </is>
      </c>
      <c r="B22">
        <f>SUMIFS(donnees_nettoyees!$R$2:$R$200,donnees_nettoyees!$E$2:$E$200,A22,donnees_nettoyees!$C$2:$C$200,IF(tableau_de_bord!$C$6="Toutes","*",tableau_de_bord!$C$6))</f>
        <v/>
      </c>
      <c r="C22">
        <f>SUMIFS(donnees_nettoyees!$AM$2:$AM$200,donnees_nettoyees!$E$2:$E$200,A22,donnees_nettoyees!$C$2:$C$200,IF(tableau_de_bord!$C$6="Toutes","*",tableau_de_bord!$C$6))</f>
        <v/>
      </c>
      <c r="D22">
        <f>SUMIFS(donnees_nettoyees!$AS$2:$AS$200,donnees_nettoyees!$E$2:$E$200,A22,donnees_nettoyees!$C$2:$C$200,IF(tableau_de_bord!$C$6="Toutes","*",tableau_de_bord!$C$6))</f>
        <v/>
      </c>
      <c r="E22">
        <f>SUMIFS(donnees_nettoyees!$BR$2:$BR$200,donnees_nettoyees!$E$2:$E$200,A22,donnees_nettoyees!$C$2:$C$200,IF(tableau_de_bord!$C$6="Toutes","*",tableau_de_bord!$C$6))</f>
        <v/>
      </c>
      <c r="F22">
        <f>IF(tableau_de_bord!$F$6="Toutes",SUM(B22:E22),IF(tableau_de_bord!$F$6="Incendies",B22,IF(tableau_de_bord!$F$6="Secours à personne",C22,IF(tableau_de_bord!$F$6="Accidents",D22,IF(tableau_de_bord!$F$6="Opérations diverses",E22,0)))))</f>
        <v/>
      </c>
    </row>
    <row r="23">
      <c r="A23" t="inlineStr">
        <is>
          <t>C�te-d'Or</t>
        </is>
      </c>
      <c r="B23">
        <f>SUMIFS(donnees_nettoyees!$R$2:$R$200,donnees_nettoyees!$E$2:$E$200,A23,donnees_nettoyees!$C$2:$C$200,IF(tableau_de_bord!$C$6="Toutes","*",tableau_de_bord!$C$6))</f>
        <v/>
      </c>
      <c r="C23">
        <f>SUMIFS(donnees_nettoyees!$AM$2:$AM$200,donnees_nettoyees!$E$2:$E$200,A23,donnees_nettoyees!$C$2:$C$200,IF(tableau_de_bord!$C$6="Toutes","*",tableau_de_bord!$C$6))</f>
        <v/>
      </c>
      <c r="D23">
        <f>SUMIFS(donnees_nettoyees!$AS$2:$AS$200,donnees_nettoyees!$E$2:$E$200,A23,donnees_nettoyees!$C$2:$C$200,IF(tableau_de_bord!$C$6="Toutes","*",tableau_de_bord!$C$6))</f>
        <v/>
      </c>
      <c r="E23">
        <f>SUMIFS(donnees_nettoyees!$BR$2:$BR$200,donnees_nettoyees!$E$2:$E$200,A23,donnees_nettoyees!$C$2:$C$200,IF(tableau_de_bord!$C$6="Toutes","*",tableau_de_bord!$C$6))</f>
        <v/>
      </c>
      <c r="F23">
        <f>IF(tableau_de_bord!$F$6="Toutes",SUM(B23:E23),IF(tableau_de_bord!$F$6="Incendies",B23,IF(tableau_de_bord!$F$6="Secours à personne",C23,IF(tableau_de_bord!$F$6="Accidents",D23,IF(tableau_de_bord!$F$6="Opérations diverses",E23,0)))))</f>
        <v/>
      </c>
    </row>
    <row r="24">
      <c r="A24" t="inlineStr">
        <is>
          <t>C�tes-d'Armor</t>
        </is>
      </c>
      <c r="B24">
        <f>SUMIFS(donnees_nettoyees!$R$2:$R$200,donnees_nettoyees!$E$2:$E$200,A24,donnees_nettoyees!$C$2:$C$200,IF(tableau_de_bord!$C$6="Toutes","*",tableau_de_bord!$C$6))</f>
        <v/>
      </c>
      <c r="C24">
        <f>SUMIFS(donnees_nettoyees!$AM$2:$AM$200,donnees_nettoyees!$E$2:$E$200,A24,donnees_nettoyees!$C$2:$C$200,IF(tableau_de_bord!$C$6="Toutes","*",tableau_de_bord!$C$6))</f>
        <v/>
      </c>
      <c r="D24">
        <f>SUMIFS(donnees_nettoyees!$AS$2:$AS$200,donnees_nettoyees!$E$2:$E$200,A24,donnees_nettoyees!$C$2:$C$200,IF(tableau_de_bord!$C$6="Toutes","*",tableau_de_bord!$C$6))</f>
        <v/>
      </c>
      <c r="E24">
        <f>SUMIFS(donnees_nettoyees!$BR$2:$BR$200,donnees_nettoyees!$E$2:$E$200,A24,donnees_nettoyees!$C$2:$C$200,IF(tableau_de_bord!$C$6="Toutes","*",tableau_de_bord!$C$6))</f>
        <v/>
      </c>
      <c r="F24">
        <f>IF(tableau_de_bord!$F$6="Toutes",SUM(B24:E24),IF(tableau_de_bord!$F$6="Incendies",B24,IF(tableau_de_bord!$F$6="Secours à personne",C24,IF(tableau_de_bord!$F$6="Accidents",D24,IF(tableau_de_bord!$F$6="Opérations diverses",E24,0)))))</f>
        <v/>
      </c>
    </row>
    <row r="25">
      <c r="A25" t="inlineStr">
        <is>
          <t>Deux-S�vres</t>
        </is>
      </c>
      <c r="B25">
        <f>SUMIFS(donnees_nettoyees!$R$2:$R$200,donnees_nettoyees!$E$2:$E$200,A25,donnees_nettoyees!$C$2:$C$200,IF(tableau_de_bord!$C$6="Toutes","*",tableau_de_bord!$C$6))</f>
        <v/>
      </c>
      <c r="C25">
        <f>SUMIFS(donnees_nettoyees!$AM$2:$AM$200,donnees_nettoyees!$E$2:$E$200,A25,donnees_nettoyees!$C$2:$C$200,IF(tableau_de_bord!$C$6="Toutes","*",tableau_de_bord!$C$6))</f>
        <v/>
      </c>
      <c r="D25">
        <f>SUMIFS(donnees_nettoyees!$AS$2:$AS$200,donnees_nettoyees!$E$2:$E$200,A25,donnees_nettoyees!$C$2:$C$200,IF(tableau_de_bord!$C$6="Toutes","*",tableau_de_bord!$C$6))</f>
        <v/>
      </c>
      <c r="E25">
        <f>SUMIFS(donnees_nettoyees!$BR$2:$BR$200,donnees_nettoyees!$E$2:$E$200,A25,donnees_nettoyees!$C$2:$C$200,IF(tableau_de_bord!$C$6="Toutes","*",tableau_de_bord!$C$6))</f>
        <v/>
      </c>
      <c r="F25">
        <f>IF(tableau_de_bord!$F$6="Toutes",SUM(B25:E25),IF(tableau_de_bord!$F$6="Incendies",B25,IF(tableau_de_bord!$F$6="Secours à personne",C25,IF(tableau_de_bord!$F$6="Accidents",D25,IF(tableau_de_bord!$F$6="Opérations diverses",E25,0)))))</f>
        <v/>
      </c>
    </row>
    <row r="26">
      <c r="A26" t="inlineStr">
        <is>
          <t>Dordogne</t>
        </is>
      </c>
      <c r="B26">
        <f>SUMIFS(donnees_nettoyees!$R$2:$R$200,donnees_nettoyees!$E$2:$E$200,A26,donnees_nettoyees!$C$2:$C$200,IF(tableau_de_bord!$C$6="Toutes","*",tableau_de_bord!$C$6))</f>
        <v/>
      </c>
      <c r="C26">
        <f>SUMIFS(donnees_nettoyees!$AM$2:$AM$200,donnees_nettoyees!$E$2:$E$200,A26,donnees_nettoyees!$C$2:$C$200,IF(tableau_de_bord!$C$6="Toutes","*",tableau_de_bord!$C$6))</f>
        <v/>
      </c>
      <c r="D26">
        <f>SUMIFS(donnees_nettoyees!$AS$2:$AS$200,donnees_nettoyees!$E$2:$E$200,A26,donnees_nettoyees!$C$2:$C$200,IF(tableau_de_bord!$C$6="Toutes","*",tableau_de_bord!$C$6))</f>
        <v/>
      </c>
      <c r="E26">
        <f>SUMIFS(donnees_nettoyees!$BR$2:$BR$200,donnees_nettoyees!$E$2:$E$200,A26,donnees_nettoyees!$C$2:$C$200,IF(tableau_de_bord!$C$6="Toutes","*",tableau_de_bord!$C$6))</f>
        <v/>
      </c>
      <c r="F26">
        <f>IF(tableau_de_bord!$F$6="Toutes",SUM(B26:E26),IF(tableau_de_bord!$F$6="Incendies",B26,IF(tableau_de_bord!$F$6="Secours à personne",C26,IF(tableau_de_bord!$F$6="Accidents",D26,IF(tableau_de_bord!$F$6="Opérations diverses",E26,0)))))</f>
        <v/>
      </c>
    </row>
    <row r="27">
      <c r="A27" t="inlineStr">
        <is>
          <t>Doubs</t>
        </is>
      </c>
      <c r="B27">
        <f>SUMIFS(donnees_nettoyees!$R$2:$R$200,donnees_nettoyees!$E$2:$E$200,A27,donnees_nettoyees!$C$2:$C$200,IF(tableau_de_bord!$C$6="Toutes","*",tableau_de_bord!$C$6))</f>
        <v/>
      </c>
      <c r="C27">
        <f>SUMIFS(donnees_nettoyees!$AM$2:$AM$200,donnees_nettoyees!$E$2:$E$200,A27,donnees_nettoyees!$C$2:$C$200,IF(tableau_de_bord!$C$6="Toutes","*",tableau_de_bord!$C$6))</f>
        <v/>
      </c>
      <c r="D27">
        <f>SUMIFS(donnees_nettoyees!$AS$2:$AS$200,donnees_nettoyees!$E$2:$E$200,A27,donnees_nettoyees!$C$2:$C$200,IF(tableau_de_bord!$C$6="Toutes","*",tableau_de_bord!$C$6))</f>
        <v/>
      </c>
      <c r="E27">
        <f>SUMIFS(donnees_nettoyees!$BR$2:$BR$200,donnees_nettoyees!$E$2:$E$200,A27,donnees_nettoyees!$C$2:$C$200,IF(tableau_de_bord!$C$6="Toutes","*",tableau_de_bord!$C$6))</f>
        <v/>
      </c>
      <c r="F27">
        <f>IF(tableau_de_bord!$F$6="Toutes",SUM(B27:E27),IF(tableau_de_bord!$F$6="Incendies",B27,IF(tableau_de_bord!$F$6="Secours à personne",C27,IF(tableau_de_bord!$F$6="Accidents",D27,IF(tableau_de_bord!$F$6="Opérations diverses",E27,0)))))</f>
        <v/>
      </c>
    </row>
    <row r="28">
      <c r="A28" t="inlineStr">
        <is>
          <t>Dr�me</t>
        </is>
      </c>
      <c r="B28">
        <f>SUMIFS(donnees_nettoyees!$R$2:$R$200,donnees_nettoyees!$E$2:$E$200,A28,donnees_nettoyees!$C$2:$C$200,IF(tableau_de_bord!$C$6="Toutes","*",tableau_de_bord!$C$6))</f>
        <v/>
      </c>
      <c r="C28">
        <f>SUMIFS(donnees_nettoyees!$AM$2:$AM$200,donnees_nettoyees!$E$2:$E$200,A28,donnees_nettoyees!$C$2:$C$200,IF(tableau_de_bord!$C$6="Toutes","*",tableau_de_bord!$C$6))</f>
        <v/>
      </c>
      <c r="D28">
        <f>SUMIFS(donnees_nettoyees!$AS$2:$AS$200,donnees_nettoyees!$E$2:$E$200,A28,donnees_nettoyees!$C$2:$C$200,IF(tableau_de_bord!$C$6="Toutes","*",tableau_de_bord!$C$6))</f>
        <v/>
      </c>
      <c r="E28">
        <f>SUMIFS(donnees_nettoyees!$BR$2:$BR$200,donnees_nettoyees!$E$2:$E$200,A28,donnees_nettoyees!$C$2:$C$200,IF(tableau_de_bord!$C$6="Toutes","*",tableau_de_bord!$C$6))</f>
        <v/>
      </c>
      <c r="F28">
        <f>IF(tableau_de_bord!$F$6="Toutes",SUM(B28:E28),IF(tableau_de_bord!$F$6="Incendies",B28,IF(tableau_de_bord!$F$6="Secours à personne",C28,IF(tableau_de_bord!$F$6="Accidents",D28,IF(tableau_de_bord!$F$6="Opérations diverses",E28,0)))))</f>
        <v/>
      </c>
    </row>
    <row r="29">
      <c r="A29" t="inlineStr">
        <is>
          <t>Essonne</t>
        </is>
      </c>
      <c r="B29">
        <f>SUMIFS(donnees_nettoyees!$R$2:$R$200,donnees_nettoyees!$E$2:$E$200,A29,donnees_nettoyees!$C$2:$C$200,IF(tableau_de_bord!$C$6="Toutes","*",tableau_de_bord!$C$6))</f>
        <v/>
      </c>
      <c r="C29">
        <f>SUMIFS(donnees_nettoyees!$AM$2:$AM$200,donnees_nettoyees!$E$2:$E$200,A29,donnees_nettoyees!$C$2:$C$200,IF(tableau_de_bord!$C$6="Toutes","*",tableau_de_bord!$C$6))</f>
        <v/>
      </c>
      <c r="D29">
        <f>SUMIFS(donnees_nettoyees!$AS$2:$AS$200,donnees_nettoyees!$E$2:$E$200,A29,donnees_nettoyees!$C$2:$C$200,IF(tableau_de_bord!$C$6="Toutes","*",tableau_de_bord!$C$6))</f>
        <v/>
      </c>
      <c r="E29">
        <f>SUMIFS(donnees_nettoyees!$BR$2:$BR$200,donnees_nettoyees!$E$2:$E$200,A29,donnees_nettoyees!$C$2:$C$200,IF(tableau_de_bord!$C$6="Toutes","*",tableau_de_bord!$C$6))</f>
        <v/>
      </c>
      <c r="F29">
        <f>IF(tableau_de_bord!$F$6="Toutes",SUM(B29:E29),IF(tableau_de_bord!$F$6="Incendies",B29,IF(tableau_de_bord!$F$6="Secours à personne",C29,IF(tableau_de_bord!$F$6="Accidents",D29,IF(tableau_de_bord!$F$6="Opérations diverses",E29,0)))))</f>
        <v/>
      </c>
    </row>
    <row r="30">
      <c r="A30" t="inlineStr">
        <is>
          <t>Eure</t>
        </is>
      </c>
      <c r="B30">
        <f>SUMIFS(donnees_nettoyees!$R$2:$R$200,donnees_nettoyees!$E$2:$E$200,A30,donnees_nettoyees!$C$2:$C$200,IF(tableau_de_bord!$C$6="Toutes","*",tableau_de_bord!$C$6))</f>
        <v/>
      </c>
      <c r="C30">
        <f>SUMIFS(donnees_nettoyees!$AM$2:$AM$200,donnees_nettoyees!$E$2:$E$200,A30,donnees_nettoyees!$C$2:$C$200,IF(tableau_de_bord!$C$6="Toutes","*",tableau_de_bord!$C$6))</f>
        <v/>
      </c>
      <c r="D30">
        <f>SUMIFS(donnees_nettoyees!$AS$2:$AS$200,donnees_nettoyees!$E$2:$E$200,A30,donnees_nettoyees!$C$2:$C$200,IF(tableau_de_bord!$C$6="Toutes","*",tableau_de_bord!$C$6))</f>
        <v/>
      </c>
      <c r="E30">
        <f>SUMIFS(donnees_nettoyees!$BR$2:$BR$200,donnees_nettoyees!$E$2:$E$200,A30,donnees_nettoyees!$C$2:$C$200,IF(tableau_de_bord!$C$6="Toutes","*",tableau_de_bord!$C$6))</f>
        <v/>
      </c>
      <c r="F30">
        <f>IF(tableau_de_bord!$F$6="Toutes",SUM(B30:E30),IF(tableau_de_bord!$F$6="Incendies",B30,IF(tableau_de_bord!$F$6="Secours à personne",C30,IF(tableau_de_bord!$F$6="Accidents",D30,IF(tableau_de_bord!$F$6="Opérations diverses",E30,0)))))</f>
        <v/>
      </c>
    </row>
    <row r="31">
      <c r="A31" t="inlineStr">
        <is>
          <t>Eure-et-Loir</t>
        </is>
      </c>
      <c r="B31">
        <f>SUMIFS(donnees_nettoyees!$R$2:$R$200,donnees_nettoyees!$E$2:$E$200,A31,donnees_nettoyees!$C$2:$C$200,IF(tableau_de_bord!$C$6="Toutes","*",tableau_de_bord!$C$6))</f>
        <v/>
      </c>
      <c r="C31">
        <f>SUMIFS(donnees_nettoyees!$AM$2:$AM$200,donnees_nettoyees!$E$2:$E$200,A31,donnees_nettoyees!$C$2:$C$200,IF(tableau_de_bord!$C$6="Toutes","*",tableau_de_bord!$C$6))</f>
        <v/>
      </c>
      <c r="D31">
        <f>SUMIFS(donnees_nettoyees!$AS$2:$AS$200,donnees_nettoyees!$E$2:$E$200,A31,donnees_nettoyees!$C$2:$C$200,IF(tableau_de_bord!$C$6="Toutes","*",tableau_de_bord!$C$6))</f>
        <v/>
      </c>
      <c r="E31">
        <f>SUMIFS(donnees_nettoyees!$BR$2:$BR$200,donnees_nettoyees!$E$2:$E$200,A31,donnees_nettoyees!$C$2:$C$200,IF(tableau_de_bord!$C$6="Toutes","*",tableau_de_bord!$C$6))</f>
        <v/>
      </c>
      <c r="F31">
        <f>IF(tableau_de_bord!$F$6="Toutes",SUM(B31:E31),IF(tableau_de_bord!$F$6="Incendies",B31,IF(tableau_de_bord!$F$6="Secours à personne",C31,IF(tableau_de_bord!$F$6="Accidents",D31,IF(tableau_de_bord!$F$6="Opérations diverses",E31,0)))))</f>
        <v/>
      </c>
    </row>
    <row r="32">
      <c r="A32" t="inlineStr">
        <is>
          <t>Finist�re</t>
        </is>
      </c>
      <c r="B32">
        <f>SUMIFS(donnees_nettoyees!$R$2:$R$200,donnees_nettoyees!$E$2:$E$200,A32,donnees_nettoyees!$C$2:$C$200,IF(tableau_de_bord!$C$6="Toutes","*",tableau_de_bord!$C$6))</f>
        <v/>
      </c>
      <c r="C32">
        <f>SUMIFS(donnees_nettoyees!$AM$2:$AM$200,donnees_nettoyees!$E$2:$E$200,A32,donnees_nettoyees!$C$2:$C$200,IF(tableau_de_bord!$C$6="Toutes","*",tableau_de_bord!$C$6))</f>
        <v/>
      </c>
      <c r="D32">
        <f>SUMIFS(donnees_nettoyees!$AS$2:$AS$200,donnees_nettoyees!$E$2:$E$200,A32,donnees_nettoyees!$C$2:$C$200,IF(tableau_de_bord!$C$6="Toutes","*",tableau_de_bord!$C$6))</f>
        <v/>
      </c>
      <c r="E32">
        <f>SUMIFS(donnees_nettoyees!$BR$2:$BR$200,donnees_nettoyees!$E$2:$E$200,A32,donnees_nettoyees!$C$2:$C$200,IF(tableau_de_bord!$C$6="Toutes","*",tableau_de_bord!$C$6))</f>
        <v/>
      </c>
      <c r="F32">
        <f>IF(tableau_de_bord!$F$6="Toutes",SUM(B32:E32),IF(tableau_de_bord!$F$6="Incendies",B32,IF(tableau_de_bord!$F$6="Secours à personne",C32,IF(tableau_de_bord!$F$6="Accidents",D32,IF(tableau_de_bord!$F$6="Opérations diverses",E32,0)))))</f>
        <v/>
      </c>
    </row>
    <row r="33">
      <c r="A33" t="inlineStr">
        <is>
          <t>Gard</t>
        </is>
      </c>
      <c r="B33">
        <f>SUMIFS(donnees_nettoyees!$R$2:$R$200,donnees_nettoyees!$E$2:$E$200,A33,donnees_nettoyees!$C$2:$C$200,IF(tableau_de_bord!$C$6="Toutes","*",tableau_de_bord!$C$6))</f>
        <v/>
      </c>
      <c r="C33">
        <f>SUMIFS(donnees_nettoyees!$AM$2:$AM$200,donnees_nettoyees!$E$2:$E$200,A33,donnees_nettoyees!$C$2:$C$200,IF(tableau_de_bord!$C$6="Toutes","*",tableau_de_bord!$C$6))</f>
        <v/>
      </c>
      <c r="D33">
        <f>SUMIFS(donnees_nettoyees!$AS$2:$AS$200,donnees_nettoyees!$E$2:$E$200,A33,donnees_nettoyees!$C$2:$C$200,IF(tableau_de_bord!$C$6="Toutes","*",tableau_de_bord!$C$6))</f>
        <v/>
      </c>
      <c r="E33">
        <f>SUMIFS(donnees_nettoyees!$BR$2:$BR$200,donnees_nettoyees!$E$2:$E$200,A33,donnees_nettoyees!$C$2:$C$200,IF(tableau_de_bord!$C$6="Toutes","*",tableau_de_bord!$C$6))</f>
        <v/>
      </c>
      <c r="F33">
        <f>IF(tableau_de_bord!$F$6="Toutes",SUM(B33:E33),IF(tableau_de_bord!$F$6="Incendies",B33,IF(tableau_de_bord!$F$6="Secours à personne",C33,IF(tableau_de_bord!$F$6="Accidents",D33,IF(tableau_de_bord!$F$6="Opérations diverses",E33,0)))))</f>
        <v/>
      </c>
    </row>
    <row r="34">
      <c r="A34" t="inlineStr">
        <is>
          <t>Gers</t>
        </is>
      </c>
      <c r="B34">
        <f>SUMIFS(donnees_nettoyees!$R$2:$R$200,donnees_nettoyees!$E$2:$E$200,A34,donnees_nettoyees!$C$2:$C$200,IF(tableau_de_bord!$C$6="Toutes","*",tableau_de_bord!$C$6))</f>
        <v/>
      </c>
      <c r="C34">
        <f>SUMIFS(donnees_nettoyees!$AM$2:$AM$200,donnees_nettoyees!$E$2:$E$200,A34,donnees_nettoyees!$C$2:$C$200,IF(tableau_de_bord!$C$6="Toutes","*",tableau_de_bord!$C$6))</f>
        <v/>
      </c>
      <c r="D34">
        <f>SUMIFS(donnees_nettoyees!$AS$2:$AS$200,donnees_nettoyees!$E$2:$E$200,A34,donnees_nettoyees!$C$2:$C$200,IF(tableau_de_bord!$C$6="Toutes","*",tableau_de_bord!$C$6))</f>
        <v/>
      </c>
      <c r="E34">
        <f>SUMIFS(donnees_nettoyees!$BR$2:$BR$200,donnees_nettoyees!$E$2:$E$200,A34,donnees_nettoyees!$C$2:$C$200,IF(tableau_de_bord!$C$6="Toutes","*",tableau_de_bord!$C$6))</f>
        <v/>
      </c>
      <c r="F34">
        <f>IF(tableau_de_bord!$F$6="Toutes",SUM(B34:E34),IF(tableau_de_bord!$F$6="Incendies",B34,IF(tableau_de_bord!$F$6="Secours à personne",C34,IF(tableau_de_bord!$F$6="Accidents",D34,IF(tableau_de_bord!$F$6="Opérations diverses",E34,0)))))</f>
        <v/>
      </c>
    </row>
    <row r="35">
      <c r="A35" t="inlineStr">
        <is>
          <t>Gironde</t>
        </is>
      </c>
      <c r="B35">
        <f>SUMIFS(donnees_nettoyees!$R$2:$R$200,donnees_nettoyees!$E$2:$E$200,A35,donnees_nettoyees!$C$2:$C$200,IF(tableau_de_bord!$C$6="Toutes","*",tableau_de_bord!$C$6))</f>
        <v/>
      </c>
      <c r="C35">
        <f>SUMIFS(donnees_nettoyees!$AM$2:$AM$200,donnees_nettoyees!$E$2:$E$200,A35,donnees_nettoyees!$C$2:$C$200,IF(tableau_de_bord!$C$6="Toutes","*",tableau_de_bord!$C$6))</f>
        <v/>
      </c>
      <c r="D35">
        <f>SUMIFS(donnees_nettoyees!$AS$2:$AS$200,donnees_nettoyees!$E$2:$E$200,A35,donnees_nettoyees!$C$2:$C$200,IF(tableau_de_bord!$C$6="Toutes","*",tableau_de_bord!$C$6))</f>
        <v/>
      </c>
      <c r="E35">
        <f>SUMIFS(donnees_nettoyees!$BR$2:$BR$200,donnees_nettoyees!$E$2:$E$200,A35,donnees_nettoyees!$C$2:$C$200,IF(tableau_de_bord!$C$6="Toutes","*",tableau_de_bord!$C$6))</f>
        <v/>
      </c>
      <c r="F35">
        <f>IF(tableau_de_bord!$F$6="Toutes",SUM(B35:E35),IF(tableau_de_bord!$F$6="Incendies",B35,IF(tableau_de_bord!$F$6="Secours à personne",C35,IF(tableau_de_bord!$F$6="Accidents",D35,IF(tableau_de_bord!$F$6="Opérations diverses",E35,0)))))</f>
        <v/>
      </c>
    </row>
    <row r="36">
      <c r="A36" t="inlineStr">
        <is>
          <t>Guadeloupe</t>
        </is>
      </c>
      <c r="B36">
        <f>SUMIFS(donnees_nettoyees!$R$2:$R$200,donnees_nettoyees!$E$2:$E$200,A36,donnees_nettoyees!$C$2:$C$200,IF(tableau_de_bord!$C$6="Toutes","*",tableau_de_bord!$C$6))</f>
        <v/>
      </c>
      <c r="C36">
        <f>SUMIFS(donnees_nettoyees!$AM$2:$AM$200,donnees_nettoyees!$E$2:$E$200,A36,donnees_nettoyees!$C$2:$C$200,IF(tableau_de_bord!$C$6="Toutes","*",tableau_de_bord!$C$6))</f>
        <v/>
      </c>
      <c r="D36">
        <f>SUMIFS(donnees_nettoyees!$AS$2:$AS$200,donnees_nettoyees!$E$2:$E$200,A36,donnees_nettoyees!$C$2:$C$200,IF(tableau_de_bord!$C$6="Toutes","*",tableau_de_bord!$C$6))</f>
        <v/>
      </c>
      <c r="E36">
        <f>SUMIFS(donnees_nettoyees!$BR$2:$BR$200,donnees_nettoyees!$E$2:$E$200,A36,donnees_nettoyees!$C$2:$C$200,IF(tableau_de_bord!$C$6="Toutes","*",tableau_de_bord!$C$6))</f>
        <v/>
      </c>
      <c r="F36">
        <f>IF(tableau_de_bord!$F$6="Toutes",SUM(B36:E36),IF(tableau_de_bord!$F$6="Incendies",B36,IF(tableau_de_bord!$F$6="Secours à personne",C36,IF(tableau_de_bord!$F$6="Accidents",D36,IF(tableau_de_bord!$F$6="Opérations diverses",E36,0)))))</f>
        <v/>
      </c>
    </row>
    <row r="37">
      <c r="A37" t="inlineStr">
        <is>
          <t>Guyane</t>
        </is>
      </c>
      <c r="B37">
        <f>SUMIFS(donnees_nettoyees!$R$2:$R$200,donnees_nettoyees!$E$2:$E$200,A37,donnees_nettoyees!$C$2:$C$200,IF(tableau_de_bord!$C$6="Toutes","*",tableau_de_bord!$C$6))</f>
        <v/>
      </c>
      <c r="C37">
        <f>SUMIFS(donnees_nettoyees!$AM$2:$AM$200,donnees_nettoyees!$E$2:$E$200,A37,donnees_nettoyees!$C$2:$C$200,IF(tableau_de_bord!$C$6="Toutes","*",tableau_de_bord!$C$6))</f>
        <v/>
      </c>
      <c r="D37">
        <f>SUMIFS(donnees_nettoyees!$AS$2:$AS$200,donnees_nettoyees!$E$2:$E$200,A37,donnees_nettoyees!$C$2:$C$200,IF(tableau_de_bord!$C$6="Toutes","*",tableau_de_bord!$C$6))</f>
        <v/>
      </c>
      <c r="E37">
        <f>SUMIFS(donnees_nettoyees!$BR$2:$BR$200,donnees_nettoyees!$E$2:$E$200,A37,donnees_nettoyees!$C$2:$C$200,IF(tableau_de_bord!$C$6="Toutes","*",tableau_de_bord!$C$6))</f>
        <v/>
      </c>
      <c r="F37">
        <f>IF(tableau_de_bord!$F$6="Toutes",SUM(B37:E37),IF(tableau_de_bord!$F$6="Incendies",B37,IF(tableau_de_bord!$F$6="Secours à personne",C37,IF(tableau_de_bord!$F$6="Accidents",D37,IF(tableau_de_bord!$F$6="Opérations diverses",E37,0)))))</f>
        <v/>
      </c>
    </row>
    <row r="38">
      <c r="A38" t="inlineStr">
        <is>
          <t>Haut-Rhin</t>
        </is>
      </c>
      <c r="B38">
        <f>SUMIFS(donnees_nettoyees!$R$2:$R$200,donnees_nettoyees!$E$2:$E$200,A38,donnees_nettoyees!$C$2:$C$200,IF(tableau_de_bord!$C$6="Toutes","*",tableau_de_bord!$C$6))</f>
        <v/>
      </c>
      <c r="C38">
        <f>SUMIFS(donnees_nettoyees!$AM$2:$AM$200,donnees_nettoyees!$E$2:$E$200,A38,donnees_nettoyees!$C$2:$C$200,IF(tableau_de_bord!$C$6="Toutes","*",tableau_de_bord!$C$6))</f>
        <v/>
      </c>
      <c r="D38">
        <f>SUMIFS(donnees_nettoyees!$AS$2:$AS$200,donnees_nettoyees!$E$2:$E$200,A38,donnees_nettoyees!$C$2:$C$200,IF(tableau_de_bord!$C$6="Toutes","*",tableau_de_bord!$C$6))</f>
        <v/>
      </c>
      <c r="E38">
        <f>SUMIFS(donnees_nettoyees!$BR$2:$BR$200,donnees_nettoyees!$E$2:$E$200,A38,donnees_nettoyees!$C$2:$C$200,IF(tableau_de_bord!$C$6="Toutes","*",tableau_de_bord!$C$6))</f>
        <v/>
      </c>
      <c r="F38">
        <f>IF(tableau_de_bord!$F$6="Toutes",SUM(B38:E38),IF(tableau_de_bord!$F$6="Incendies",B38,IF(tableau_de_bord!$F$6="Secours à personne",C38,IF(tableau_de_bord!$F$6="Accidents",D38,IF(tableau_de_bord!$F$6="Opérations diverses",E38,0)))))</f>
        <v/>
      </c>
    </row>
    <row r="39">
      <c r="A39" t="inlineStr">
        <is>
          <t>Haute-Corse</t>
        </is>
      </c>
      <c r="B39">
        <f>SUMIFS(donnees_nettoyees!$R$2:$R$200,donnees_nettoyees!$E$2:$E$200,A39,donnees_nettoyees!$C$2:$C$200,IF(tableau_de_bord!$C$6="Toutes","*",tableau_de_bord!$C$6))</f>
        <v/>
      </c>
      <c r="C39">
        <f>SUMIFS(donnees_nettoyees!$AM$2:$AM$200,donnees_nettoyees!$E$2:$E$200,A39,donnees_nettoyees!$C$2:$C$200,IF(tableau_de_bord!$C$6="Toutes","*",tableau_de_bord!$C$6))</f>
        <v/>
      </c>
      <c r="D39">
        <f>SUMIFS(donnees_nettoyees!$AS$2:$AS$200,donnees_nettoyees!$E$2:$E$200,A39,donnees_nettoyees!$C$2:$C$200,IF(tableau_de_bord!$C$6="Toutes","*",tableau_de_bord!$C$6))</f>
        <v/>
      </c>
      <c r="E39">
        <f>SUMIFS(donnees_nettoyees!$BR$2:$BR$200,donnees_nettoyees!$E$2:$E$200,A39,donnees_nettoyees!$C$2:$C$200,IF(tableau_de_bord!$C$6="Toutes","*",tableau_de_bord!$C$6))</f>
        <v/>
      </c>
      <c r="F39">
        <f>IF(tableau_de_bord!$F$6="Toutes",SUM(B39:E39),IF(tableau_de_bord!$F$6="Incendies",B39,IF(tableau_de_bord!$F$6="Secours à personne",C39,IF(tableau_de_bord!$F$6="Accidents",D39,IF(tableau_de_bord!$F$6="Opérations diverses",E39,0)))))</f>
        <v/>
      </c>
    </row>
    <row r="40">
      <c r="A40" t="inlineStr">
        <is>
          <t>Haute-Garonne</t>
        </is>
      </c>
      <c r="B40">
        <f>SUMIFS(donnees_nettoyees!$R$2:$R$200,donnees_nettoyees!$E$2:$E$200,A40,donnees_nettoyees!$C$2:$C$200,IF(tableau_de_bord!$C$6="Toutes","*",tableau_de_bord!$C$6))</f>
        <v/>
      </c>
      <c r="C40">
        <f>SUMIFS(donnees_nettoyees!$AM$2:$AM$200,donnees_nettoyees!$E$2:$E$200,A40,donnees_nettoyees!$C$2:$C$200,IF(tableau_de_bord!$C$6="Toutes","*",tableau_de_bord!$C$6))</f>
        <v/>
      </c>
      <c r="D40">
        <f>SUMIFS(donnees_nettoyees!$AS$2:$AS$200,donnees_nettoyees!$E$2:$E$200,A40,donnees_nettoyees!$C$2:$C$200,IF(tableau_de_bord!$C$6="Toutes","*",tableau_de_bord!$C$6))</f>
        <v/>
      </c>
      <c r="E40">
        <f>SUMIFS(donnees_nettoyees!$BR$2:$BR$200,donnees_nettoyees!$E$2:$E$200,A40,donnees_nettoyees!$C$2:$C$200,IF(tableau_de_bord!$C$6="Toutes","*",tableau_de_bord!$C$6))</f>
        <v/>
      </c>
      <c r="F40">
        <f>IF(tableau_de_bord!$F$6="Toutes",SUM(B40:E40),IF(tableau_de_bord!$F$6="Incendies",B40,IF(tableau_de_bord!$F$6="Secours à personne",C40,IF(tableau_de_bord!$F$6="Accidents",D40,IF(tableau_de_bord!$F$6="Opérations diverses",E40,0)))))</f>
        <v/>
      </c>
    </row>
    <row r="41">
      <c r="A41" t="inlineStr">
        <is>
          <t>Haute-Loire</t>
        </is>
      </c>
      <c r="B41">
        <f>SUMIFS(donnees_nettoyees!$R$2:$R$200,donnees_nettoyees!$E$2:$E$200,A41,donnees_nettoyees!$C$2:$C$200,IF(tableau_de_bord!$C$6="Toutes","*",tableau_de_bord!$C$6))</f>
        <v/>
      </c>
      <c r="C41">
        <f>SUMIFS(donnees_nettoyees!$AM$2:$AM$200,donnees_nettoyees!$E$2:$E$200,A41,donnees_nettoyees!$C$2:$C$200,IF(tableau_de_bord!$C$6="Toutes","*",tableau_de_bord!$C$6))</f>
        <v/>
      </c>
      <c r="D41">
        <f>SUMIFS(donnees_nettoyees!$AS$2:$AS$200,donnees_nettoyees!$E$2:$E$200,A41,donnees_nettoyees!$C$2:$C$200,IF(tableau_de_bord!$C$6="Toutes","*",tableau_de_bord!$C$6))</f>
        <v/>
      </c>
      <c r="E41">
        <f>SUMIFS(donnees_nettoyees!$BR$2:$BR$200,donnees_nettoyees!$E$2:$E$200,A41,donnees_nettoyees!$C$2:$C$200,IF(tableau_de_bord!$C$6="Toutes","*",tableau_de_bord!$C$6))</f>
        <v/>
      </c>
      <c r="F41">
        <f>IF(tableau_de_bord!$F$6="Toutes",SUM(B41:E41),IF(tableau_de_bord!$F$6="Incendies",B41,IF(tableau_de_bord!$F$6="Secours à personne",C41,IF(tableau_de_bord!$F$6="Accidents",D41,IF(tableau_de_bord!$F$6="Opérations diverses",E41,0)))))</f>
        <v/>
      </c>
    </row>
    <row r="42">
      <c r="A42" t="inlineStr">
        <is>
          <t>Haute-Marne</t>
        </is>
      </c>
      <c r="B42">
        <f>SUMIFS(donnees_nettoyees!$R$2:$R$200,donnees_nettoyees!$E$2:$E$200,A42,donnees_nettoyees!$C$2:$C$200,IF(tableau_de_bord!$C$6="Toutes","*",tableau_de_bord!$C$6))</f>
        <v/>
      </c>
      <c r="C42">
        <f>SUMIFS(donnees_nettoyees!$AM$2:$AM$200,donnees_nettoyees!$E$2:$E$200,A42,donnees_nettoyees!$C$2:$C$200,IF(tableau_de_bord!$C$6="Toutes","*",tableau_de_bord!$C$6))</f>
        <v/>
      </c>
      <c r="D42">
        <f>SUMIFS(donnees_nettoyees!$AS$2:$AS$200,donnees_nettoyees!$E$2:$E$200,A42,donnees_nettoyees!$C$2:$C$200,IF(tableau_de_bord!$C$6="Toutes","*",tableau_de_bord!$C$6))</f>
        <v/>
      </c>
      <c r="E42">
        <f>SUMIFS(donnees_nettoyees!$BR$2:$BR$200,donnees_nettoyees!$E$2:$E$200,A42,donnees_nettoyees!$C$2:$C$200,IF(tableau_de_bord!$C$6="Toutes","*",tableau_de_bord!$C$6))</f>
        <v/>
      </c>
      <c r="F42">
        <f>IF(tableau_de_bord!$F$6="Toutes",SUM(B42:E42),IF(tableau_de_bord!$F$6="Incendies",B42,IF(tableau_de_bord!$F$6="Secours à personne",C42,IF(tableau_de_bord!$F$6="Accidents",D42,IF(tableau_de_bord!$F$6="Opérations diverses",E42,0)))))</f>
        <v/>
      </c>
    </row>
    <row r="43">
      <c r="A43" t="inlineStr">
        <is>
          <t>Haute-Savoie</t>
        </is>
      </c>
      <c r="B43">
        <f>SUMIFS(donnees_nettoyees!$R$2:$R$200,donnees_nettoyees!$E$2:$E$200,A43,donnees_nettoyees!$C$2:$C$200,IF(tableau_de_bord!$C$6="Toutes","*",tableau_de_bord!$C$6))</f>
        <v/>
      </c>
      <c r="C43">
        <f>SUMIFS(donnees_nettoyees!$AM$2:$AM$200,donnees_nettoyees!$E$2:$E$200,A43,donnees_nettoyees!$C$2:$C$200,IF(tableau_de_bord!$C$6="Toutes","*",tableau_de_bord!$C$6))</f>
        <v/>
      </c>
      <c r="D43">
        <f>SUMIFS(donnees_nettoyees!$AS$2:$AS$200,donnees_nettoyees!$E$2:$E$200,A43,donnees_nettoyees!$C$2:$C$200,IF(tableau_de_bord!$C$6="Toutes","*",tableau_de_bord!$C$6))</f>
        <v/>
      </c>
      <c r="E43">
        <f>SUMIFS(donnees_nettoyees!$BR$2:$BR$200,donnees_nettoyees!$E$2:$E$200,A43,donnees_nettoyees!$C$2:$C$200,IF(tableau_de_bord!$C$6="Toutes","*",tableau_de_bord!$C$6))</f>
        <v/>
      </c>
      <c r="F43">
        <f>IF(tableau_de_bord!$F$6="Toutes",SUM(B43:E43),IF(tableau_de_bord!$F$6="Incendies",B43,IF(tableau_de_bord!$F$6="Secours à personne",C43,IF(tableau_de_bord!$F$6="Accidents",D43,IF(tableau_de_bord!$F$6="Opérations diverses",E43,0)))))</f>
        <v/>
      </c>
    </row>
    <row r="44">
      <c r="A44" t="inlineStr">
        <is>
          <t>Haute-Sa�ne</t>
        </is>
      </c>
      <c r="B44">
        <f>SUMIFS(donnees_nettoyees!$R$2:$R$200,donnees_nettoyees!$E$2:$E$200,A44,donnees_nettoyees!$C$2:$C$200,IF(tableau_de_bord!$C$6="Toutes","*",tableau_de_bord!$C$6))</f>
        <v/>
      </c>
      <c r="C44">
        <f>SUMIFS(donnees_nettoyees!$AM$2:$AM$200,donnees_nettoyees!$E$2:$E$200,A44,donnees_nettoyees!$C$2:$C$200,IF(tableau_de_bord!$C$6="Toutes","*",tableau_de_bord!$C$6))</f>
        <v/>
      </c>
      <c r="D44">
        <f>SUMIFS(donnees_nettoyees!$AS$2:$AS$200,donnees_nettoyees!$E$2:$E$200,A44,donnees_nettoyees!$C$2:$C$200,IF(tableau_de_bord!$C$6="Toutes","*",tableau_de_bord!$C$6))</f>
        <v/>
      </c>
      <c r="E44">
        <f>SUMIFS(donnees_nettoyees!$BR$2:$BR$200,donnees_nettoyees!$E$2:$E$200,A44,donnees_nettoyees!$C$2:$C$200,IF(tableau_de_bord!$C$6="Toutes","*",tableau_de_bord!$C$6))</f>
        <v/>
      </c>
      <c r="F44">
        <f>IF(tableau_de_bord!$F$6="Toutes",SUM(B44:E44),IF(tableau_de_bord!$F$6="Incendies",B44,IF(tableau_de_bord!$F$6="Secours à personne",C44,IF(tableau_de_bord!$F$6="Accidents",D44,IF(tableau_de_bord!$F$6="Opérations diverses",E44,0)))))</f>
        <v/>
      </c>
    </row>
    <row r="45">
      <c r="A45" t="inlineStr">
        <is>
          <t>Haute-Vienne</t>
        </is>
      </c>
      <c r="B45">
        <f>SUMIFS(donnees_nettoyees!$R$2:$R$200,donnees_nettoyees!$E$2:$E$200,A45,donnees_nettoyees!$C$2:$C$200,IF(tableau_de_bord!$C$6="Toutes","*",tableau_de_bord!$C$6))</f>
        <v/>
      </c>
      <c r="C45">
        <f>SUMIFS(donnees_nettoyees!$AM$2:$AM$200,donnees_nettoyees!$E$2:$E$200,A45,donnees_nettoyees!$C$2:$C$200,IF(tableau_de_bord!$C$6="Toutes","*",tableau_de_bord!$C$6))</f>
        <v/>
      </c>
      <c r="D45">
        <f>SUMIFS(donnees_nettoyees!$AS$2:$AS$200,donnees_nettoyees!$E$2:$E$200,A45,donnees_nettoyees!$C$2:$C$200,IF(tableau_de_bord!$C$6="Toutes","*",tableau_de_bord!$C$6))</f>
        <v/>
      </c>
      <c r="E45">
        <f>SUMIFS(donnees_nettoyees!$BR$2:$BR$200,donnees_nettoyees!$E$2:$E$200,A45,donnees_nettoyees!$C$2:$C$200,IF(tableau_de_bord!$C$6="Toutes","*",tableau_de_bord!$C$6))</f>
        <v/>
      </c>
      <c r="F45">
        <f>IF(tableau_de_bord!$F$6="Toutes",SUM(B45:E45),IF(tableau_de_bord!$F$6="Incendies",B45,IF(tableau_de_bord!$F$6="Secours à personne",C45,IF(tableau_de_bord!$F$6="Accidents",D45,IF(tableau_de_bord!$F$6="Opérations diverses",E45,0)))))</f>
        <v/>
      </c>
    </row>
    <row r="46">
      <c r="A46" t="inlineStr">
        <is>
          <t>Hautes-Alpes</t>
        </is>
      </c>
      <c r="B46">
        <f>SUMIFS(donnees_nettoyees!$R$2:$R$200,donnees_nettoyees!$E$2:$E$200,A46,donnees_nettoyees!$C$2:$C$200,IF(tableau_de_bord!$C$6="Toutes","*",tableau_de_bord!$C$6))</f>
        <v/>
      </c>
      <c r="C46">
        <f>SUMIFS(donnees_nettoyees!$AM$2:$AM$200,donnees_nettoyees!$E$2:$E$200,A46,donnees_nettoyees!$C$2:$C$200,IF(tableau_de_bord!$C$6="Toutes","*",tableau_de_bord!$C$6))</f>
        <v/>
      </c>
      <c r="D46">
        <f>SUMIFS(donnees_nettoyees!$AS$2:$AS$200,donnees_nettoyees!$E$2:$E$200,A46,donnees_nettoyees!$C$2:$C$200,IF(tableau_de_bord!$C$6="Toutes","*",tableau_de_bord!$C$6))</f>
        <v/>
      </c>
      <c r="E46">
        <f>SUMIFS(donnees_nettoyees!$BR$2:$BR$200,donnees_nettoyees!$E$2:$E$200,A46,donnees_nettoyees!$C$2:$C$200,IF(tableau_de_bord!$C$6="Toutes","*",tableau_de_bord!$C$6))</f>
        <v/>
      </c>
      <c r="F46">
        <f>IF(tableau_de_bord!$F$6="Toutes",SUM(B46:E46),IF(tableau_de_bord!$F$6="Incendies",B46,IF(tableau_de_bord!$F$6="Secours à personne",C46,IF(tableau_de_bord!$F$6="Accidents",D46,IF(tableau_de_bord!$F$6="Opérations diverses",E46,0)))))</f>
        <v/>
      </c>
    </row>
    <row r="47">
      <c r="A47" t="inlineStr">
        <is>
          <t>Hautes-Pyr�n�es</t>
        </is>
      </c>
      <c r="B47">
        <f>SUMIFS(donnees_nettoyees!$R$2:$R$200,donnees_nettoyees!$E$2:$E$200,A47,donnees_nettoyees!$C$2:$C$200,IF(tableau_de_bord!$C$6="Toutes","*",tableau_de_bord!$C$6))</f>
        <v/>
      </c>
      <c r="C47">
        <f>SUMIFS(donnees_nettoyees!$AM$2:$AM$200,donnees_nettoyees!$E$2:$E$200,A47,donnees_nettoyees!$C$2:$C$200,IF(tableau_de_bord!$C$6="Toutes","*",tableau_de_bord!$C$6))</f>
        <v/>
      </c>
      <c r="D47">
        <f>SUMIFS(donnees_nettoyees!$AS$2:$AS$200,donnees_nettoyees!$E$2:$E$200,A47,donnees_nettoyees!$C$2:$C$200,IF(tableau_de_bord!$C$6="Toutes","*",tableau_de_bord!$C$6))</f>
        <v/>
      </c>
      <c r="E47">
        <f>SUMIFS(donnees_nettoyees!$BR$2:$BR$200,donnees_nettoyees!$E$2:$E$200,A47,donnees_nettoyees!$C$2:$C$200,IF(tableau_de_bord!$C$6="Toutes","*",tableau_de_bord!$C$6))</f>
        <v/>
      </c>
      <c r="F47">
        <f>IF(tableau_de_bord!$F$6="Toutes",SUM(B47:E47),IF(tableau_de_bord!$F$6="Incendies",B47,IF(tableau_de_bord!$F$6="Secours à personne",C47,IF(tableau_de_bord!$F$6="Accidents",D47,IF(tableau_de_bord!$F$6="Opérations diverses",E47,0)))))</f>
        <v/>
      </c>
    </row>
    <row r="48">
      <c r="A48" t="inlineStr">
        <is>
          <t>H�rault</t>
        </is>
      </c>
      <c r="B48">
        <f>SUMIFS(donnees_nettoyees!$R$2:$R$200,donnees_nettoyees!$E$2:$E$200,A48,donnees_nettoyees!$C$2:$C$200,IF(tableau_de_bord!$C$6="Toutes","*",tableau_de_bord!$C$6))</f>
        <v/>
      </c>
      <c r="C48">
        <f>SUMIFS(donnees_nettoyees!$AM$2:$AM$200,donnees_nettoyees!$E$2:$E$200,A48,donnees_nettoyees!$C$2:$C$200,IF(tableau_de_bord!$C$6="Toutes","*",tableau_de_bord!$C$6))</f>
        <v/>
      </c>
      <c r="D48">
        <f>SUMIFS(donnees_nettoyees!$AS$2:$AS$200,donnees_nettoyees!$E$2:$E$200,A48,donnees_nettoyees!$C$2:$C$200,IF(tableau_de_bord!$C$6="Toutes","*",tableau_de_bord!$C$6))</f>
        <v/>
      </c>
      <c r="E48">
        <f>SUMIFS(donnees_nettoyees!$BR$2:$BR$200,donnees_nettoyees!$E$2:$E$200,A48,donnees_nettoyees!$C$2:$C$200,IF(tableau_de_bord!$C$6="Toutes","*",tableau_de_bord!$C$6))</f>
        <v/>
      </c>
      <c r="F48">
        <f>IF(tableau_de_bord!$F$6="Toutes",SUM(B48:E48),IF(tableau_de_bord!$F$6="Incendies",B48,IF(tableau_de_bord!$F$6="Secours à personne",C48,IF(tableau_de_bord!$F$6="Accidents",D48,IF(tableau_de_bord!$F$6="Opérations diverses",E48,0)))))</f>
        <v/>
      </c>
    </row>
    <row r="49">
      <c r="A49" t="inlineStr">
        <is>
          <t>Ille-et-Vilaine</t>
        </is>
      </c>
      <c r="B49">
        <f>SUMIFS(donnees_nettoyees!$R$2:$R$200,donnees_nettoyees!$E$2:$E$200,A49,donnees_nettoyees!$C$2:$C$200,IF(tableau_de_bord!$C$6="Toutes","*",tableau_de_bord!$C$6))</f>
        <v/>
      </c>
      <c r="C49">
        <f>SUMIFS(donnees_nettoyees!$AM$2:$AM$200,donnees_nettoyees!$E$2:$E$200,A49,donnees_nettoyees!$C$2:$C$200,IF(tableau_de_bord!$C$6="Toutes","*",tableau_de_bord!$C$6))</f>
        <v/>
      </c>
      <c r="D49">
        <f>SUMIFS(donnees_nettoyees!$AS$2:$AS$200,donnees_nettoyees!$E$2:$E$200,A49,donnees_nettoyees!$C$2:$C$200,IF(tableau_de_bord!$C$6="Toutes","*",tableau_de_bord!$C$6))</f>
        <v/>
      </c>
      <c r="E49">
        <f>SUMIFS(donnees_nettoyees!$BR$2:$BR$200,donnees_nettoyees!$E$2:$E$200,A49,donnees_nettoyees!$C$2:$C$200,IF(tableau_de_bord!$C$6="Toutes","*",tableau_de_bord!$C$6))</f>
        <v/>
      </c>
      <c r="F49">
        <f>IF(tableau_de_bord!$F$6="Toutes",SUM(B49:E49),IF(tableau_de_bord!$F$6="Incendies",B49,IF(tableau_de_bord!$F$6="Secours à personne",C49,IF(tableau_de_bord!$F$6="Accidents",D49,IF(tableau_de_bord!$F$6="Opérations diverses",E49,0)))))</f>
        <v/>
      </c>
    </row>
    <row r="50">
      <c r="A50" t="inlineStr">
        <is>
          <t>Indre</t>
        </is>
      </c>
      <c r="B50">
        <f>SUMIFS(donnees_nettoyees!$R$2:$R$200,donnees_nettoyees!$E$2:$E$200,A50,donnees_nettoyees!$C$2:$C$200,IF(tableau_de_bord!$C$6="Toutes","*",tableau_de_bord!$C$6))</f>
        <v/>
      </c>
      <c r="C50">
        <f>SUMIFS(donnees_nettoyees!$AM$2:$AM$200,donnees_nettoyees!$E$2:$E$200,A50,donnees_nettoyees!$C$2:$C$200,IF(tableau_de_bord!$C$6="Toutes","*",tableau_de_bord!$C$6))</f>
        <v/>
      </c>
      <c r="D50">
        <f>SUMIFS(donnees_nettoyees!$AS$2:$AS$200,donnees_nettoyees!$E$2:$E$200,A50,donnees_nettoyees!$C$2:$C$200,IF(tableau_de_bord!$C$6="Toutes","*",tableau_de_bord!$C$6))</f>
        <v/>
      </c>
      <c r="E50">
        <f>SUMIFS(donnees_nettoyees!$BR$2:$BR$200,donnees_nettoyees!$E$2:$E$200,A50,donnees_nettoyees!$C$2:$C$200,IF(tableau_de_bord!$C$6="Toutes","*",tableau_de_bord!$C$6))</f>
        <v/>
      </c>
      <c r="F50">
        <f>IF(tableau_de_bord!$F$6="Toutes",SUM(B50:E50),IF(tableau_de_bord!$F$6="Incendies",B50,IF(tableau_de_bord!$F$6="Secours à personne",C50,IF(tableau_de_bord!$F$6="Accidents",D50,IF(tableau_de_bord!$F$6="Opérations diverses",E50,0)))))</f>
        <v/>
      </c>
    </row>
    <row r="51">
      <c r="A51" t="inlineStr">
        <is>
          <t>Indre-et-Loire</t>
        </is>
      </c>
      <c r="B51">
        <f>SUMIFS(donnees_nettoyees!$R$2:$R$200,donnees_nettoyees!$E$2:$E$200,A51,donnees_nettoyees!$C$2:$C$200,IF(tableau_de_bord!$C$6="Toutes","*",tableau_de_bord!$C$6))</f>
        <v/>
      </c>
      <c r="C51">
        <f>SUMIFS(donnees_nettoyees!$AM$2:$AM$200,donnees_nettoyees!$E$2:$E$200,A51,donnees_nettoyees!$C$2:$C$200,IF(tableau_de_bord!$C$6="Toutes","*",tableau_de_bord!$C$6))</f>
        <v/>
      </c>
      <c r="D51">
        <f>SUMIFS(donnees_nettoyees!$AS$2:$AS$200,donnees_nettoyees!$E$2:$E$200,A51,donnees_nettoyees!$C$2:$C$200,IF(tableau_de_bord!$C$6="Toutes","*",tableau_de_bord!$C$6))</f>
        <v/>
      </c>
      <c r="E51">
        <f>SUMIFS(donnees_nettoyees!$BR$2:$BR$200,donnees_nettoyees!$E$2:$E$200,A51,donnees_nettoyees!$C$2:$C$200,IF(tableau_de_bord!$C$6="Toutes","*",tableau_de_bord!$C$6))</f>
        <v/>
      </c>
      <c r="F51">
        <f>IF(tableau_de_bord!$F$6="Toutes",SUM(B51:E51),IF(tableau_de_bord!$F$6="Incendies",B51,IF(tableau_de_bord!$F$6="Secours à personne",C51,IF(tableau_de_bord!$F$6="Accidents",D51,IF(tableau_de_bord!$F$6="Opérations diverses",E51,0)))))</f>
        <v/>
      </c>
    </row>
    <row r="52">
      <c r="A52" t="inlineStr">
        <is>
          <t>Is�re</t>
        </is>
      </c>
      <c r="B52">
        <f>SUMIFS(donnees_nettoyees!$R$2:$R$200,donnees_nettoyees!$E$2:$E$200,A52,donnees_nettoyees!$C$2:$C$200,IF(tableau_de_bord!$C$6="Toutes","*",tableau_de_bord!$C$6))</f>
        <v/>
      </c>
      <c r="C52">
        <f>SUMIFS(donnees_nettoyees!$AM$2:$AM$200,donnees_nettoyees!$E$2:$E$200,A52,donnees_nettoyees!$C$2:$C$200,IF(tableau_de_bord!$C$6="Toutes","*",tableau_de_bord!$C$6))</f>
        <v/>
      </c>
      <c r="D52">
        <f>SUMIFS(donnees_nettoyees!$AS$2:$AS$200,donnees_nettoyees!$E$2:$E$200,A52,donnees_nettoyees!$C$2:$C$200,IF(tableau_de_bord!$C$6="Toutes","*",tableau_de_bord!$C$6))</f>
        <v/>
      </c>
      <c r="E52">
        <f>SUMIFS(donnees_nettoyees!$BR$2:$BR$200,donnees_nettoyees!$E$2:$E$200,A52,donnees_nettoyees!$C$2:$C$200,IF(tableau_de_bord!$C$6="Toutes","*",tableau_de_bord!$C$6))</f>
        <v/>
      </c>
      <c r="F52">
        <f>IF(tableau_de_bord!$F$6="Toutes",SUM(B52:E52),IF(tableau_de_bord!$F$6="Incendies",B52,IF(tableau_de_bord!$F$6="Secours à personne",C52,IF(tableau_de_bord!$F$6="Accidents",D52,IF(tableau_de_bord!$F$6="Opérations diverses",E52,0)))))</f>
        <v/>
      </c>
    </row>
    <row r="53">
      <c r="A53" t="inlineStr">
        <is>
          <t>Jura</t>
        </is>
      </c>
      <c r="B53">
        <f>SUMIFS(donnees_nettoyees!$R$2:$R$200,donnees_nettoyees!$E$2:$E$200,A53,donnees_nettoyees!$C$2:$C$200,IF(tableau_de_bord!$C$6="Toutes","*",tableau_de_bord!$C$6))</f>
        <v/>
      </c>
      <c r="C53">
        <f>SUMIFS(donnees_nettoyees!$AM$2:$AM$200,donnees_nettoyees!$E$2:$E$200,A53,donnees_nettoyees!$C$2:$C$200,IF(tableau_de_bord!$C$6="Toutes","*",tableau_de_bord!$C$6))</f>
        <v/>
      </c>
      <c r="D53">
        <f>SUMIFS(donnees_nettoyees!$AS$2:$AS$200,donnees_nettoyees!$E$2:$E$200,A53,donnees_nettoyees!$C$2:$C$200,IF(tableau_de_bord!$C$6="Toutes","*",tableau_de_bord!$C$6))</f>
        <v/>
      </c>
      <c r="E53">
        <f>SUMIFS(donnees_nettoyees!$BR$2:$BR$200,donnees_nettoyees!$E$2:$E$200,A53,donnees_nettoyees!$C$2:$C$200,IF(tableau_de_bord!$C$6="Toutes","*",tableau_de_bord!$C$6))</f>
        <v/>
      </c>
      <c r="F53">
        <f>IF(tableau_de_bord!$F$6="Toutes",SUM(B53:E53),IF(tableau_de_bord!$F$6="Incendies",B53,IF(tableau_de_bord!$F$6="Secours à personne",C53,IF(tableau_de_bord!$F$6="Accidents",D53,IF(tableau_de_bord!$F$6="Opérations diverses",E53,0)))))</f>
        <v/>
      </c>
    </row>
    <row r="54">
      <c r="A54" t="inlineStr">
        <is>
          <t>Landes</t>
        </is>
      </c>
      <c r="B54">
        <f>SUMIFS(donnees_nettoyees!$R$2:$R$200,donnees_nettoyees!$E$2:$E$200,A54,donnees_nettoyees!$C$2:$C$200,IF(tableau_de_bord!$C$6="Toutes","*",tableau_de_bord!$C$6))</f>
        <v/>
      </c>
      <c r="C54">
        <f>SUMIFS(donnees_nettoyees!$AM$2:$AM$200,donnees_nettoyees!$E$2:$E$200,A54,donnees_nettoyees!$C$2:$C$200,IF(tableau_de_bord!$C$6="Toutes","*",tableau_de_bord!$C$6))</f>
        <v/>
      </c>
      <c r="D54">
        <f>SUMIFS(donnees_nettoyees!$AS$2:$AS$200,donnees_nettoyees!$E$2:$E$200,A54,donnees_nettoyees!$C$2:$C$200,IF(tableau_de_bord!$C$6="Toutes","*",tableau_de_bord!$C$6))</f>
        <v/>
      </c>
      <c r="E54">
        <f>SUMIFS(donnees_nettoyees!$BR$2:$BR$200,donnees_nettoyees!$E$2:$E$200,A54,donnees_nettoyees!$C$2:$C$200,IF(tableau_de_bord!$C$6="Toutes","*",tableau_de_bord!$C$6))</f>
        <v/>
      </c>
      <c r="F54">
        <f>IF(tableau_de_bord!$F$6="Toutes",SUM(B54:E54),IF(tableau_de_bord!$F$6="Incendies",B54,IF(tableau_de_bord!$F$6="Secours à personne",C54,IF(tableau_de_bord!$F$6="Accidents",D54,IF(tableau_de_bord!$F$6="Opérations diverses",E54,0)))))</f>
        <v/>
      </c>
    </row>
    <row r="55">
      <c r="A55" t="inlineStr">
        <is>
          <t>Loir-et-Cher</t>
        </is>
      </c>
      <c r="B55">
        <f>SUMIFS(donnees_nettoyees!$R$2:$R$200,donnees_nettoyees!$E$2:$E$200,A55,donnees_nettoyees!$C$2:$C$200,IF(tableau_de_bord!$C$6="Toutes","*",tableau_de_bord!$C$6))</f>
        <v/>
      </c>
      <c r="C55">
        <f>SUMIFS(donnees_nettoyees!$AM$2:$AM$200,donnees_nettoyees!$E$2:$E$200,A55,donnees_nettoyees!$C$2:$C$200,IF(tableau_de_bord!$C$6="Toutes","*",tableau_de_bord!$C$6))</f>
        <v/>
      </c>
      <c r="D55">
        <f>SUMIFS(donnees_nettoyees!$AS$2:$AS$200,donnees_nettoyees!$E$2:$E$200,A55,donnees_nettoyees!$C$2:$C$200,IF(tableau_de_bord!$C$6="Toutes","*",tableau_de_bord!$C$6))</f>
        <v/>
      </c>
      <c r="E55">
        <f>SUMIFS(donnees_nettoyees!$BR$2:$BR$200,donnees_nettoyees!$E$2:$E$200,A55,donnees_nettoyees!$C$2:$C$200,IF(tableau_de_bord!$C$6="Toutes","*",tableau_de_bord!$C$6))</f>
        <v/>
      </c>
      <c r="F55">
        <f>IF(tableau_de_bord!$F$6="Toutes",SUM(B55:E55),IF(tableau_de_bord!$F$6="Incendies",B55,IF(tableau_de_bord!$F$6="Secours à personne",C55,IF(tableau_de_bord!$F$6="Accidents",D55,IF(tableau_de_bord!$F$6="Opérations diverses",E55,0)))))</f>
        <v/>
      </c>
    </row>
    <row r="56">
      <c r="A56" t="inlineStr">
        <is>
          <t>Loire</t>
        </is>
      </c>
      <c r="B56">
        <f>SUMIFS(donnees_nettoyees!$R$2:$R$200,donnees_nettoyees!$E$2:$E$200,A56,donnees_nettoyees!$C$2:$C$200,IF(tableau_de_bord!$C$6="Toutes","*",tableau_de_bord!$C$6))</f>
        <v/>
      </c>
      <c r="C56">
        <f>SUMIFS(donnees_nettoyees!$AM$2:$AM$200,donnees_nettoyees!$E$2:$E$200,A56,donnees_nettoyees!$C$2:$C$200,IF(tableau_de_bord!$C$6="Toutes","*",tableau_de_bord!$C$6))</f>
        <v/>
      </c>
      <c r="D56">
        <f>SUMIFS(donnees_nettoyees!$AS$2:$AS$200,donnees_nettoyees!$E$2:$E$200,A56,donnees_nettoyees!$C$2:$C$200,IF(tableau_de_bord!$C$6="Toutes","*",tableau_de_bord!$C$6))</f>
        <v/>
      </c>
      <c r="E56">
        <f>SUMIFS(donnees_nettoyees!$BR$2:$BR$200,donnees_nettoyees!$E$2:$E$200,A56,donnees_nettoyees!$C$2:$C$200,IF(tableau_de_bord!$C$6="Toutes","*",tableau_de_bord!$C$6))</f>
        <v/>
      </c>
      <c r="F56">
        <f>IF(tableau_de_bord!$F$6="Toutes",SUM(B56:E56),IF(tableau_de_bord!$F$6="Incendies",B56,IF(tableau_de_bord!$F$6="Secours à personne",C56,IF(tableau_de_bord!$F$6="Accidents",D56,IF(tableau_de_bord!$F$6="Opérations diverses",E56,0)))))</f>
        <v/>
      </c>
    </row>
    <row r="57">
      <c r="A57" t="inlineStr">
        <is>
          <t>Loire-Atlantique</t>
        </is>
      </c>
      <c r="B57">
        <f>SUMIFS(donnees_nettoyees!$R$2:$R$200,donnees_nettoyees!$E$2:$E$200,A57,donnees_nettoyees!$C$2:$C$200,IF(tableau_de_bord!$C$6="Toutes","*",tableau_de_bord!$C$6))</f>
        <v/>
      </c>
      <c r="C57">
        <f>SUMIFS(donnees_nettoyees!$AM$2:$AM$200,donnees_nettoyees!$E$2:$E$200,A57,donnees_nettoyees!$C$2:$C$200,IF(tableau_de_bord!$C$6="Toutes","*",tableau_de_bord!$C$6))</f>
        <v/>
      </c>
      <c r="D57">
        <f>SUMIFS(donnees_nettoyees!$AS$2:$AS$200,donnees_nettoyees!$E$2:$E$200,A57,donnees_nettoyees!$C$2:$C$200,IF(tableau_de_bord!$C$6="Toutes","*",tableau_de_bord!$C$6))</f>
        <v/>
      </c>
      <c r="E57">
        <f>SUMIFS(donnees_nettoyees!$BR$2:$BR$200,donnees_nettoyees!$E$2:$E$200,A57,donnees_nettoyees!$C$2:$C$200,IF(tableau_de_bord!$C$6="Toutes","*",tableau_de_bord!$C$6))</f>
        <v/>
      </c>
      <c r="F57">
        <f>IF(tableau_de_bord!$F$6="Toutes",SUM(B57:E57),IF(tableau_de_bord!$F$6="Incendies",B57,IF(tableau_de_bord!$F$6="Secours à personne",C57,IF(tableau_de_bord!$F$6="Accidents",D57,IF(tableau_de_bord!$F$6="Opérations diverses",E57,0)))))</f>
        <v/>
      </c>
    </row>
    <row r="58">
      <c r="A58" t="inlineStr">
        <is>
          <t>Loiret</t>
        </is>
      </c>
      <c r="B58">
        <f>SUMIFS(donnees_nettoyees!$R$2:$R$200,donnees_nettoyees!$E$2:$E$200,A58,donnees_nettoyees!$C$2:$C$200,IF(tableau_de_bord!$C$6="Toutes","*",tableau_de_bord!$C$6))</f>
        <v/>
      </c>
      <c r="C58">
        <f>SUMIFS(donnees_nettoyees!$AM$2:$AM$200,donnees_nettoyees!$E$2:$E$200,A58,donnees_nettoyees!$C$2:$C$200,IF(tableau_de_bord!$C$6="Toutes","*",tableau_de_bord!$C$6))</f>
        <v/>
      </c>
      <c r="D58">
        <f>SUMIFS(donnees_nettoyees!$AS$2:$AS$200,donnees_nettoyees!$E$2:$E$200,A58,donnees_nettoyees!$C$2:$C$200,IF(tableau_de_bord!$C$6="Toutes","*",tableau_de_bord!$C$6))</f>
        <v/>
      </c>
      <c r="E58">
        <f>SUMIFS(donnees_nettoyees!$BR$2:$BR$200,donnees_nettoyees!$E$2:$E$200,A58,donnees_nettoyees!$C$2:$C$200,IF(tableau_de_bord!$C$6="Toutes","*",tableau_de_bord!$C$6))</f>
        <v/>
      </c>
      <c r="F58">
        <f>IF(tableau_de_bord!$F$6="Toutes",SUM(B58:E58),IF(tableau_de_bord!$F$6="Incendies",B58,IF(tableau_de_bord!$F$6="Secours à personne",C58,IF(tableau_de_bord!$F$6="Accidents",D58,IF(tableau_de_bord!$F$6="Opérations diverses",E58,0)))))</f>
        <v/>
      </c>
    </row>
    <row r="59">
      <c r="A59" t="inlineStr">
        <is>
          <t>Lot</t>
        </is>
      </c>
      <c r="B59">
        <f>SUMIFS(donnees_nettoyees!$R$2:$R$200,donnees_nettoyees!$E$2:$E$200,A59,donnees_nettoyees!$C$2:$C$200,IF(tableau_de_bord!$C$6="Toutes","*",tableau_de_bord!$C$6))</f>
        <v/>
      </c>
      <c r="C59">
        <f>SUMIFS(donnees_nettoyees!$AM$2:$AM$200,donnees_nettoyees!$E$2:$E$200,A59,donnees_nettoyees!$C$2:$C$200,IF(tableau_de_bord!$C$6="Toutes","*",tableau_de_bord!$C$6))</f>
        <v/>
      </c>
      <c r="D59">
        <f>SUMIFS(donnees_nettoyees!$AS$2:$AS$200,donnees_nettoyees!$E$2:$E$200,A59,donnees_nettoyees!$C$2:$C$200,IF(tableau_de_bord!$C$6="Toutes","*",tableau_de_bord!$C$6))</f>
        <v/>
      </c>
      <c r="E59">
        <f>SUMIFS(donnees_nettoyees!$BR$2:$BR$200,donnees_nettoyees!$E$2:$E$200,A59,donnees_nettoyees!$C$2:$C$200,IF(tableau_de_bord!$C$6="Toutes","*",tableau_de_bord!$C$6))</f>
        <v/>
      </c>
      <c r="F59">
        <f>IF(tableau_de_bord!$F$6="Toutes",SUM(B59:E59),IF(tableau_de_bord!$F$6="Incendies",B59,IF(tableau_de_bord!$F$6="Secours à personne",C59,IF(tableau_de_bord!$F$6="Accidents",D59,IF(tableau_de_bord!$F$6="Opérations diverses",E59,0)))))</f>
        <v/>
      </c>
    </row>
    <row r="60">
      <c r="A60" t="inlineStr">
        <is>
          <t>Lot-et-Garonne</t>
        </is>
      </c>
      <c r="B60">
        <f>SUMIFS(donnees_nettoyees!$R$2:$R$200,donnees_nettoyees!$E$2:$E$200,A60,donnees_nettoyees!$C$2:$C$200,IF(tableau_de_bord!$C$6="Toutes","*",tableau_de_bord!$C$6))</f>
        <v/>
      </c>
      <c r="C60">
        <f>SUMIFS(donnees_nettoyees!$AM$2:$AM$200,donnees_nettoyees!$E$2:$E$200,A60,donnees_nettoyees!$C$2:$C$200,IF(tableau_de_bord!$C$6="Toutes","*",tableau_de_bord!$C$6))</f>
        <v/>
      </c>
      <c r="D60">
        <f>SUMIFS(donnees_nettoyees!$AS$2:$AS$200,donnees_nettoyees!$E$2:$E$200,A60,donnees_nettoyees!$C$2:$C$200,IF(tableau_de_bord!$C$6="Toutes","*",tableau_de_bord!$C$6))</f>
        <v/>
      </c>
      <c r="E60">
        <f>SUMIFS(donnees_nettoyees!$BR$2:$BR$200,donnees_nettoyees!$E$2:$E$200,A60,donnees_nettoyees!$C$2:$C$200,IF(tableau_de_bord!$C$6="Toutes","*",tableau_de_bord!$C$6))</f>
        <v/>
      </c>
      <c r="F60">
        <f>IF(tableau_de_bord!$F$6="Toutes",SUM(B60:E60),IF(tableau_de_bord!$F$6="Incendies",B60,IF(tableau_de_bord!$F$6="Secours à personne",C60,IF(tableau_de_bord!$F$6="Accidents",D60,IF(tableau_de_bord!$F$6="Opérations diverses",E60,0)))))</f>
        <v/>
      </c>
    </row>
    <row r="61">
      <c r="A61" t="inlineStr">
        <is>
          <t>Loz�re</t>
        </is>
      </c>
      <c r="B61">
        <f>SUMIFS(donnees_nettoyees!$R$2:$R$200,donnees_nettoyees!$E$2:$E$200,A61,donnees_nettoyees!$C$2:$C$200,IF(tableau_de_bord!$C$6="Toutes","*",tableau_de_bord!$C$6))</f>
        <v/>
      </c>
      <c r="C61">
        <f>SUMIFS(donnees_nettoyees!$AM$2:$AM$200,donnees_nettoyees!$E$2:$E$200,A61,donnees_nettoyees!$C$2:$C$200,IF(tableau_de_bord!$C$6="Toutes","*",tableau_de_bord!$C$6))</f>
        <v/>
      </c>
      <c r="D61">
        <f>SUMIFS(donnees_nettoyees!$AS$2:$AS$200,donnees_nettoyees!$E$2:$E$200,A61,donnees_nettoyees!$C$2:$C$200,IF(tableau_de_bord!$C$6="Toutes","*",tableau_de_bord!$C$6))</f>
        <v/>
      </c>
      <c r="E61">
        <f>SUMIFS(donnees_nettoyees!$BR$2:$BR$200,donnees_nettoyees!$E$2:$E$200,A61,donnees_nettoyees!$C$2:$C$200,IF(tableau_de_bord!$C$6="Toutes","*",tableau_de_bord!$C$6))</f>
        <v/>
      </c>
      <c r="F61">
        <f>IF(tableau_de_bord!$F$6="Toutes",SUM(B61:E61),IF(tableau_de_bord!$F$6="Incendies",B61,IF(tableau_de_bord!$F$6="Secours à personne",C61,IF(tableau_de_bord!$F$6="Accidents",D61,IF(tableau_de_bord!$F$6="Opérations diverses",E61,0)))))</f>
        <v/>
      </c>
    </row>
    <row r="62">
      <c r="A62" t="inlineStr">
        <is>
          <t>Maine-et-Loire</t>
        </is>
      </c>
      <c r="B62">
        <f>SUMIFS(donnees_nettoyees!$R$2:$R$200,donnees_nettoyees!$E$2:$E$200,A62,donnees_nettoyees!$C$2:$C$200,IF(tableau_de_bord!$C$6="Toutes","*",tableau_de_bord!$C$6))</f>
        <v/>
      </c>
      <c r="C62">
        <f>SUMIFS(donnees_nettoyees!$AM$2:$AM$200,donnees_nettoyees!$E$2:$E$200,A62,donnees_nettoyees!$C$2:$C$200,IF(tableau_de_bord!$C$6="Toutes","*",tableau_de_bord!$C$6))</f>
        <v/>
      </c>
      <c r="D62">
        <f>SUMIFS(donnees_nettoyees!$AS$2:$AS$200,donnees_nettoyees!$E$2:$E$200,A62,donnees_nettoyees!$C$2:$C$200,IF(tableau_de_bord!$C$6="Toutes","*",tableau_de_bord!$C$6))</f>
        <v/>
      </c>
      <c r="E62">
        <f>SUMIFS(donnees_nettoyees!$BR$2:$BR$200,donnees_nettoyees!$E$2:$E$200,A62,donnees_nettoyees!$C$2:$C$200,IF(tableau_de_bord!$C$6="Toutes","*",tableau_de_bord!$C$6))</f>
        <v/>
      </c>
      <c r="F62">
        <f>IF(tableau_de_bord!$F$6="Toutes",SUM(B62:E62),IF(tableau_de_bord!$F$6="Incendies",B62,IF(tableau_de_bord!$F$6="Secours à personne",C62,IF(tableau_de_bord!$F$6="Accidents",D62,IF(tableau_de_bord!$F$6="Opérations diverses",E62,0)))))</f>
        <v/>
      </c>
    </row>
    <row r="63">
      <c r="A63" t="inlineStr">
        <is>
          <t>Manche</t>
        </is>
      </c>
      <c r="B63">
        <f>SUMIFS(donnees_nettoyees!$R$2:$R$200,donnees_nettoyees!$E$2:$E$200,A63,donnees_nettoyees!$C$2:$C$200,IF(tableau_de_bord!$C$6="Toutes","*",tableau_de_bord!$C$6))</f>
        <v/>
      </c>
      <c r="C63">
        <f>SUMIFS(donnees_nettoyees!$AM$2:$AM$200,donnees_nettoyees!$E$2:$E$200,A63,donnees_nettoyees!$C$2:$C$200,IF(tableau_de_bord!$C$6="Toutes","*",tableau_de_bord!$C$6))</f>
        <v/>
      </c>
      <c r="D63">
        <f>SUMIFS(donnees_nettoyees!$AS$2:$AS$200,donnees_nettoyees!$E$2:$E$200,A63,donnees_nettoyees!$C$2:$C$200,IF(tableau_de_bord!$C$6="Toutes","*",tableau_de_bord!$C$6))</f>
        <v/>
      </c>
      <c r="E63">
        <f>SUMIFS(donnees_nettoyees!$BR$2:$BR$200,donnees_nettoyees!$E$2:$E$200,A63,donnees_nettoyees!$C$2:$C$200,IF(tableau_de_bord!$C$6="Toutes","*",tableau_de_bord!$C$6))</f>
        <v/>
      </c>
      <c r="F63">
        <f>IF(tableau_de_bord!$F$6="Toutes",SUM(B63:E63),IF(tableau_de_bord!$F$6="Incendies",B63,IF(tableau_de_bord!$F$6="Secours à personne",C63,IF(tableau_de_bord!$F$6="Accidents",D63,IF(tableau_de_bord!$F$6="Opérations diverses",E63,0)))))</f>
        <v/>
      </c>
    </row>
    <row r="64">
      <c r="A64" t="inlineStr">
        <is>
          <t>Marne</t>
        </is>
      </c>
      <c r="B64">
        <f>SUMIFS(donnees_nettoyees!$R$2:$R$200,donnees_nettoyees!$E$2:$E$200,A64,donnees_nettoyees!$C$2:$C$200,IF(tableau_de_bord!$C$6="Toutes","*",tableau_de_bord!$C$6))</f>
        <v/>
      </c>
      <c r="C64">
        <f>SUMIFS(donnees_nettoyees!$AM$2:$AM$200,donnees_nettoyees!$E$2:$E$200,A64,donnees_nettoyees!$C$2:$C$200,IF(tableau_de_bord!$C$6="Toutes","*",tableau_de_bord!$C$6))</f>
        <v/>
      </c>
      <c r="D64">
        <f>SUMIFS(donnees_nettoyees!$AS$2:$AS$200,donnees_nettoyees!$E$2:$E$200,A64,donnees_nettoyees!$C$2:$C$200,IF(tableau_de_bord!$C$6="Toutes","*",tableau_de_bord!$C$6))</f>
        <v/>
      </c>
      <c r="E64">
        <f>SUMIFS(donnees_nettoyees!$BR$2:$BR$200,donnees_nettoyees!$E$2:$E$200,A64,donnees_nettoyees!$C$2:$C$200,IF(tableau_de_bord!$C$6="Toutes","*",tableau_de_bord!$C$6))</f>
        <v/>
      </c>
      <c r="F64">
        <f>IF(tableau_de_bord!$F$6="Toutes",SUM(B64:E64),IF(tableau_de_bord!$F$6="Incendies",B64,IF(tableau_de_bord!$F$6="Secours à personne",C64,IF(tableau_de_bord!$F$6="Accidents",D64,IF(tableau_de_bord!$F$6="Opérations diverses",E64,0)))))</f>
        <v/>
      </c>
    </row>
    <row r="65">
      <c r="A65" t="inlineStr">
        <is>
          <t>Martinique</t>
        </is>
      </c>
      <c r="B65">
        <f>SUMIFS(donnees_nettoyees!$R$2:$R$200,donnees_nettoyees!$E$2:$E$200,A65,donnees_nettoyees!$C$2:$C$200,IF(tableau_de_bord!$C$6="Toutes","*",tableau_de_bord!$C$6))</f>
        <v/>
      </c>
      <c r="C65">
        <f>SUMIFS(donnees_nettoyees!$AM$2:$AM$200,donnees_nettoyees!$E$2:$E$200,A65,donnees_nettoyees!$C$2:$C$200,IF(tableau_de_bord!$C$6="Toutes","*",tableau_de_bord!$C$6))</f>
        <v/>
      </c>
      <c r="D65">
        <f>SUMIFS(donnees_nettoyees!$AS$2:$AS$200,donnees_nettoyees!$E$2:$E$200,A65,donnees_nettoyees!$C$2:$C$200,IF(tableau_de_bord!$C$6="Toutes","*",tableau_de_bord!$C$6))</f>
        <v/>
      </c>
      <c r="E65">
        <f>SUMIFS(donnees_nettoyees!$BR$2:$BR$200,donnees_nettoyees!$E$2:$E$200,A65,donnees_nettoyees!$C$2:$C$200,IF(tableau_de_bord!$C$6="Toutes","*",tableau_de_bord!$C$6))</f>
        <v/>
      </c>
      <c r="F65">
        <f>IF(tableau_de_bord!$F$6="Toutes",SUM(B65:E65),IF(tableau_de_bord!$F$6="Incendies",B65,IF(tableau_de_bord!$F$6="Secours à personne",C65,IF(tableau_de_bord!$F$6="Accidents",D65,IF(tableau_de_bord!$F$6="Opérations diverses",E65,0)))))</f>
        <v/>
      </c>
    </row>
    <row r="66">
      <c r="A66" t="inlineStr">
        <is>
          <t>Mayenne</t>
        </is>
      </c>
      <c r="B66">
        <f>SUMIFS(donnees_nettoyees!$R$2:$R$200,donnees_nettoyees!$E$2:$E$200,A66,donnees_nettoyees!$C$2:$C$200,IF(tableau_de_bord!$C$6="Toutes","*",tableau_de_bord!$C$6))</f>
        <v/>
      </c>
      <c r="C66">
        <f>SUMIFS(donnees_nettoyees!$AM$2:$AM$200,donnees_nettoyees!$E$2:$E$200,A66,donnees_nettoyees!$C$2:$C$200,IF(tableau_de_bord!$C$6="Toutes","*",tableau_de_bord!$C$6))</f>
        <v/>
      </c>
      <c r="D66">
        <f>SUMIFS(donnees_nettoyees!$AS$2:$AS$200,donnees_nettoyees!$E$2:$E$200,A66,donnees_nettoyees!$C$2:$C$200,IF(tableau_de_bord!$C$6="Toutes","*",tableau_de_bord!$C$6))</f>
        <v/>
      </c>
      <c r="E66">
        <f>SUMIFS(donnees_nettoyees!$BR$2:$BR$200,donnees_nettoyees!$E$2:$E$200,A66,donnees_nettoyees!$C$2:$C$200,IF(tableau_de_bord!$C$6="Toutes","*",tableau_de_bord!$C$6))</f>
        <v/>
      </c>
      <c r="F66">
        <f>IF(tableau_de_bord!$F$6="Toutes",SUM(B66:E66),IF(tableau_de_bord!$F$6="Incendies",B66,IF(tableau_de_bord!$F$6="Secours à personne",C66,IF(tableau_de_bord!$F$6="Accidents",D66,IF(tableau_de_bord!$F$6="Opérations diverses",E66,0)))))</f>
        <v/>
      </c>
    </row>
    <row r="67">
      <c r="A67" t="inlineStr">
        <is>
          <t>Mayotte</t>
        </is>
      </c>
      <c r="B67">
        <f>SUMIFS(donnees_nettoyees!$R$2:$R$200,donnees_nettoyees!$E$2:$E$200,A67,donnees_nettoyees!$C$2:$C$200,IF(tableau_de_bord!$C$6="Toutes","*",tableau_de_bord!$C$6))</f>
        <v/>
      </c>
      <c r="C67">
        <f>SUMIFS(donnees_nettoyees!$AM$2:$AM$200,donnees_nettoyees!$E$2:$E$200,A67,donnees_nettoyees!$C$2:$C$200,IF(tableau_de_bord!$C$6="Toutes","*",tableau_de_bord!$C$6))</f>
        <v/>
      </c>
      <c r="D67">
        <f>SUMIFS(donnees_nettoyees!$AS$2:$AS$200,donnees_nettoyees!$E$2:$E$200,A67,donnees_nettoyees!$C$2:$C$200,IF(tableau_de_bord!$C$6="Toutes","*",tableau_de_bord!$C$6))</f>
        <v/>
      </c>
      <c r="E67">
        <f>SUMIFS(donnees_nettoyees!$BR$2:$BR$200,donnees_nettoyees!$E$2:$E$200,A67,donnees_nettoyees!$C$2:$C$200,IF(tableau_de_bord!$C$6="Toutes","*",tableau_de_bord!$C$6))</f>
        <v/>
      </c>
      <c r="F67">
        <f>IF(tableau_de_bord!$F$6="Toutes",SUM(B67:E67),IF(tableau_de_bord!$F$6="Incendies",B67,IF(tableau_de_bord!$F$6="Secours à personne",C67,IF(tableau_de_bord!$F$6="Accidents",D67,IF(tableau_de_bord!$F$6="Opérations diverses",E67,0)))))</f>
        <v/>
      </c>
    </row>
    <row r="68">
      <c r="A68" t="inlineStr">
        <is>
          <t>Meurthe-et-Moselle</t>
        </is>
      </c>
      <c r="B68">
        <f>SUMIFS(donnees_nettoyees!$R$2:$R$200,donnees_nettoyees!$E$2:$E$200,A68,donnees_nettoyees!$C$2:$C$200,IF(tableau_de_bord!$C$6="Toutes","*",tableau_de_bord!$C$6))</f>
        <v/>
      </c>
      <c r="C68">
        <f>SUMIFS(donnees_nettoyees!$AM$2:$AM$200,donnees_nettoyees!$E$2:$E$200,A68,donnees_nettoyees!$C$2:$C$200,IF(tableau_de_bord!$C$6="Toutes","*",tableau_de_bord!$C$6))</f>
        <v/>
      </c>
      <c r="D68">
        <f>SUMIFS(donnees_nettoyees!$AS$2:$AS$200,donnees_nettoyees!$E$2:$E$200,A68,donnees_nettoyees!$C$2:$C$200,IF(tableau_de_bord!$C$6="Toutes","*",tableau_de_bord!$C$6))</f>
        <v/>
      </c>
      <c r="E68">
        <f>SUMIFS(donnees_nettoyees!$BR$2:$BR$200,donnees_nettoyees!$E$2:$E$200,A68,donnees_nettoyees!$C$2:$C$200,IF(tableau_de_bord!$C$6="Toutes","*",tableau_de_bord!$C$6))</f>
        <v/>
      </c>
      <c r="F68">
        <f>IF(tableau_de_bord!$F$6="Toutes",SUM(B68:E68),IF(tableau_de_bord!$F$6="Incendies",B68,IF(tableau_de_bord!$F$6="Secours à personne",C68,IF(tableau_de_bord!$F$6="Accidents",D68,IF(tableau_de_bord!$F$6="Opérations diverses",E68,0)))))</f>
        <v/>
      </c>
    </row>
    <row r="69">
      <c r="A69" t="inlineStr">
        <is>
          <t>Meuse</t>
        </is>
      </c>
      <c r="B69">
        <f>SUMIFS(donnees_nettoyees!$R$2:$R$200,donnees_nettoyees!$E$2:$E$200,A69,donnees_nettoyees!$C$2:$C$200,IF(tableau_de_bord!$C$6="Toutes","*",tableau_de_bord!$C$6))</f>
        <v/>
      </c>
      <c r="C69">
        <f>SUMIFS(donnees_nettoyees!$AM$2:$AM$200,donnees_nettoyees!$E$2:$E$200,A69,donnees_nettoyees!$C$2:$C$200,IF(tableau_de_bord!$C$6="Toutes","*",tableau_de_bord!$C$6))</f>
        <v/>
      </c>
      <c r="D69">
        <f>SUMIFS(donnees_nettoyees!$AS$2:$AS$200,donnees_nettoyees!$E$2:$E$200,A69,donnees_nettoyees!$C$2:$C$200,IF(tableau_de_bord!$C$6="Toutes","*",tableau_de_bord!$C$6))</f>
        <v/>
      </c>
      <c r="E69">
        <f>SUMIFS(donnees_nettoyees!$BR$2:$BR$200,donnees_nettoyees!$E$2:$E$200,A69,donnees_nettoyees!$C$2:$C$200,IF(tableau_de_bord!$C$6="Toutes","*",tableau_de_bord!$C$6))</f>
        <v/>
      </c>
      <c r="F69">
        <f>IF(tableau_de_bord!$F$6="Toutes",SUM(B69:E69),IF(tableau_de_bord!$F$6="Incendies",B69,IF(tableau_de_bord!$F$6="Secours à personne",C69,IF(tableau_de_bord!$F$6="Accidents",D69,IF(tableau_de_bord!$F$6="Opérations diverses",E69,0)))))</f>
        <v/>
      </c>
    </row>
    <row r="70">
      <c r="A70" t="inlineStr">
        <is>
          <t>Morbihan</t>
        </is>
      </c>
      <c r="B70">
        <f>SUMIFS(donnees_nettoyees!$R$2:$R$200,donnees_nettoyees!$E$2:$E$200,A70,donnees_nettoyees!$C$2:$C$200,IF(tableau_de_bord!$C$6="Toutes","*",tableau_de_bord!$C$6))</f>
        <v/>
      </c>
      <c r="C70">
        <f>SUMIFS(donnees_nettoyees!$AM$2:$AM$200,donnees_nettoyees!$E$2:$E$200,A70,donnees_nettoyees!$C$2:$C$200,IF(tableau_de_bord!$C$6="Toutes","*",tableau_de_bord!$C$6))</f>
        <v/>
      </c>
      <c r="D70">
        <f>SUMIFS(donnees_nettoyees!$AS$2:$AS$200,donnees_nettoyees!$E$2:$E$200,A70,donnees_nettoyees!$C$2:$C$200,IF(tableau_de_bord!$C$6="Toutes","*",tableau_de_bord!$C$6))</f>
        <v/>
      </c>
      <c r="E70">
        <f>SUMIFS(donnees_nettoyees!$BR$2:$BR$200,donnees_nettoyees!$E$2:$E$200,A70,donnees_nettoyees!$C$2:$C$200,IF(tableau_de_bord!$C$6="Toutes","*",tableau_de_bord!$C$6))</f>
        <v/>
      </c>
      <c r="F70">
        <f>IF(tableau_de_bord!$F$6="Toutes",SUM(B70:E70),IF(tableau_de_bord!$F$6="Incendies",B70,IF(tableau_de_bord!$F$6="Secours à personne",C70,IF(tableau_de_bord!$F$6="Accidents",D70,IF(tableau_de_bord!$F$6="Opérations diverses",E70,0)))))</f>
        <v/>
      </c>
    </row>
    <row r="71">
      <c r="A71" t="inlineStr">
        <is>
          <t>Moselle</t>
        </is>
      </c>
      <c r="B71">
        <f>SUMIFS(donnees_nettoyees!$R$2:$R$200,donnees_nettoyees!$E$2:$E$200,A71,donnees_nettoyees!$C$2:$C$200,IF(tableau_de_bord!$C$6="Toutes","*",tableau_de_bord!$C$6))</f>
        <v/>
      </c>
      <c r="C71">
        <f>SUMIFS(donnees_nettoyees!$AM$2:$AM$200,donnees_nettoyees!$E$2:$E$200,A71,donnees_nettoyees!$C$2:$C$200,IF(tableau_de_bord!$C$6="Toutes","*",tableau_de_bord!$C$6))</f>
        <v/>
      </c>
      <c r="D71">
        <f>SUMIFS(donnees_nettoyees!$AS$2:$AS$200,donnees_nettoyees!$E$2:$E$200,A71,donnees_nettoyees!$C$2:$C$200,IF(tableau_de_bord!$C$6="Toutes","*",tableau_de_bord!$C$6))</f>
        <v/>
      </c>
      <c r="E71">
        <f>SUMIFS(donnees_nettoyees!$BR$2:$BR$200,donnees_nettoyees!$E$2:$E$200,A71,donnees_nettoyees!$C$2:$C$200,IF(tableau_de_bord!$C$6="Toutes","*",tableau_de_bord!$C$6))</f>
        <v/>
      </c>
      <c r="F71">
        <f>IF(tableau_de_bord!$F$6="Toutes",SUM(B71:E71),IF(tableau_de_bord!$F$6="Incendies",B71,IF(tableau_de_bord!$F$6="Secours à personne",C71,IF(tableau_de_bord!$F$6="Accidents",D71,IF(tableau_de_bord!$F$6="Opérations diverses",E71,0)))))</f>
        <v/>
      </c>
    </row>
    <row r="72">
      <c r="A72" t="inlineStr">
        <is>
          <t>Ni�vre</t>
        </is>
      </c>
      <c r="B72">
        <f>SUMIFS(donnees_nettoyees!$R$2:$R$200,donnees_nettoyees!$E$2:$E$200,A72,donnees_nettoyees!$C$2:$C$200,IF(tableau_de_bord!$C$6="Toutes","*",tableau_de_bord!$C$6))</f>
        <v/>
      </c>
      <c r="C72">
        <f>SUMIFS(donnees_nettoyees!$AM$2:$AM$200,donnees_nettoyees!$E$2:$E$200,A72,donnees_nettoyees!$C$2:$C$200,IF(tableau_de_bord!$C$6="Toutes","*",tableau_de_bord!$C$6))</f>
        <v/>
      </c>
      <c r="D72">
        <f>SUMIFS(donnees_nettoyees!$AS$2:$AS$200,donnees_nettoyees!$E$2:$E$200,A72,donnees_nettoyees!$C$2:$C$200,IF(tableau_de_bord!$C$6="Toutes","*",tableau_de_bord!$C$6))</f>
        <v/>
      </c>
      <c r="E72">
        <f>SUMIFS(donnees_nettoyees!$BR$2:$BR$200,donnees_nettoyees!$E$2:$E$200,A72,donnees_nettoyees!$C$2:$C$200,IF(tableau_de_bord!$C$6="Toutes","*",tableau_de_bord!$C$6))</f>
        <v/>
      </c>
      <c r="F72">
        <f>IF(tableau_de_bord!$F$6="Toutes",SUM(B72:E72),IF(tableau_de_bord!$F$6="Incendies",B72,IF(tableau_de_bord!$F$6="Secours à personne",C72,IF(tableau_de_bord!$F$6="Accidents",D72,IF(tableau_de_bord!$F$6="Opérations diverses",E72,0)))))</f>
        <v/>
      </c>
    </row>
    <row r="73">
      <c r="A73" t="inlineStr">
        <is>
          <t>Nord</t>
        </is>
      </c>
      <c r="B73">
        <f>SUMIFS(donnees_nettoyees!$R$2:$R$200,donnees_nettoyees!$E$2:$E$200,A73,donnees_nettoyees!$C$2:$C$200,IF(tableau_de_bord!$C$6="Toutes","*",tableau_de_bord!$C$6))</f>
        <v/>
      </c>
      <c r="C73">
        <f>SUMIFS(donnees_nettoyees!$AM$2:$AM$200,donnees_nettoyees!$E$2:$E$200,A73,donnees_nettoyees!$C$2:$C$200,IF(tableau_de_bord!$C$6="Toutes","*",tableau_de_bord!$C$6))</f>
        <v/>
      </c>
      <c r="D73">
        <f>SUMIFS(donnees_nettoyees!$AS$2:$AS$200,donnees_nettoyees!$E$2:$E$200,A73,donnees_nettoyees!$C$2:$C$200,IF(tableau_de_bord!$C$6="Toutes","*",tableau_de_bord!$C$6))</f>
        <v/>
      </c>
      <c r="E73">
        <f>SUMIFS(donnees_nettoyees!$BR$2:$BR$200,donnees_nettoyees!$E$2:$E$200,A73,donnees_nettoyees!$C$2:$C$200,IF(tableau_de_bord!$C$6="Toutes","*",tableau_de_bord!$C$6))</f>
        <v/>
      </c>
      <c r="F73">
        <f>IF(tableau_de_bord!$F$6="Toutes",SUM(B73:E73),IF(tableau_de_bord!$F$6="Incendies",B73,IF(tableau_de_bord!$F$6="Secours à personne",C73,IF(tableau_de_bord!$F$6="Accidents",D73,IF(tableau_de_bord!$F$6="Opérations diverses",E73,0)))))</f>
        <v/>
      </c>
    </row>
    <row r="74">
      <c r="A74" t="inlineStr">
        <is>
          <t>Oise</t>
        </is>
      </c>
      <c r="B74">
        <f>SUMIFS(donnees_nettoyees!$R$2:$R$200,donnees_nettoyees!$E$2:$E$200,A74,donnees_nettoyees!$C$2:$C$200,IF(tableau_de_bord!$C$6="Toutes","*",tableau_de_bord!$C$6))</f>
        <v/>
      </c>
      <c r="C74">
        <f>SUMIFS(donnees_nettoyees!$AM$2:$AM$200,donnees_nettoyees!$E$2:$E$200,A74,donnees_nettoyees!$C$2:$C$200,IF(tableau_de_bord!$C$6="Toutes","*",tableau_de_bord!$C$6))</f>
        <v/>
      </c>
      <c r="D74">
        <f>SUMIFS(donnees_nettoyees!$AS$2:$AS$200,donnees_nettoyees!$E$2:$E$200,A74,donnees_nettoyees!$C$2:$C$200,IF(tableau_de_bord!$C$6="Toutes","*",tableau_de_bord!$C$6))</f>
        <v/>
      </c>
      <c r="E74">
        <f>SUMIFS(donnees_nettoyees!$BR$2:$BR$200,donnees_nettoyees!$E$2:$E$200,A74,donnees_nettoyees!$C$2:$C$200,IF(tableau_de_bord!$C$6="Toutes","*",tableau_de_bord!$C$6))</f>
        <v/>
      </c>
      <c r="F74">
        <f>IF(tableau_de_bord!$F$6="Toutes",SUM(B74:E74),IF(tableau_de_bord!$F$6="Incendies",B74,IF(tableau_de_bord!$F$6="Secours à personne",C74,IF(tableau_de_bord!$F$6="Accidents",D74,IF(tableau_de_bord!$F$6="Opérations diverses",E74,0)))))</f>
        <v/>
      </c>
    </row>
    <row r="75">
      <c r="A75" t="inlineStr">
        <is>
          <t>Orne</t>
        </is>
      </c>
      <c r="B75">
        <f>SUMIFS(donnees_nettoyees!$R$2:$R$200,donnees_nettoyees!$E$2:$E$200,A75,donnees_nettoyees!$C$2:$C$200,IF(tableau_de_bord!$C$6="Toutes","*",tableau_de_bord!$C$6))</f>
        <v/>
      </c>
      <c r="C75">
        <f>SUMIFS(donnees_nettoyees!$AM$2:$AM$200,donnees_nettoyees!$E$2:$E$200,A75,donnees_nettoyees!$C$2:$C$200,IF(tableau_de_bord!$C$6="Toutes","*",tableau_de_bord!$C$6))</f>
        <v/>
      </c>
      <c r="D75">
        <f>SUMIFS(donnees_nettoyees!$AS$2:$AS$200,donnees_nettoyees!$E$2:$E$200,A75,donnees_nettoyees!$C$2:$C$200,IF(tableau_de_bord!$C$6="Toutes","*",tableau_de_bord!$C$6))</f>
        <v/>
      </c>
      <c r="E75">
        <f>SUMIFS(donnees_nettoyees!$BR$2:$BR$200,donnees_nettoyees!$E$2:$E$200,A75,donnees_nettoyees!$C$2:$C$200,IF(tableau_de_bord!$C$6="Toutes","*",tableau_de_bord!$C$6))</f>
        <v/>
      </c>
      <c r="F75">
        <f>IF(tableau_de_bord!$F$6="Toutes",SUM(B75:E75),IF(tableau_de_bord!$F$6="Incendies",B75,IF(tableau_de_bord!$F$6="Secours à personne",C75,IF(tableau_de_bord!$F$6="Accidents",D75,IF(tableau_de_bord!$F$6="Opérations diverses",E75,0)))))</f>
        <v/>
      </c>
    </row>
    <row r="76">
      <c r="A76" t="inlineStr">
        <is>
          <t>Paris</t>
        </is>
      </c>
      <c r="B76">
        <f>SUMIFS(donnees_nettoyees!$R$2:$R$200,donnees_nettoyees!$E$2:$E$200,A76,donnees_nettoyees!$C$2:$C$200,IF(tableau_de_bord!$C$6="Toutes","*",tableau_de_bord!$C$6))</f>
        <v/>
      </c>
      <c r="C76">
        <f>SUMIFS(donnees_nettoyees!$AM$2:$AM$200,donnees_nettoyees!$E$2:$E$200,A76,donnees_nettoyees!$C$2:$C$200,IF(tableau_de_bord!$C$6="Toutes","*",tableau_de_bord!$C$6))</f>
        <v/>
      </c>
      <c r="D76">
        <f>SUMIFS(donnees_nettoyees!$AS$2:$AS$200,donnees_nettoyees!$E$2:$E$200,A76,donnees_nettoyees!$C$2:$C$200,IF(tableau_de_bord!$C$6="Toutes","*",tableau_de_bord!$C$6))</f>
        <v/>
      </c>
      <c r="E76">
        <f>SUMIFS(donnees_nettoyees!$BR$2:$BR$200,donnees_nettoyees!$E$2:$E$200,A76,donnees_nettoyees!$C$2:$C$200,IF(tableau_de_bord!$C$6="Toutes","*",tableau_de_bord!$C$6))</f>
        <v/>
      </c>
      <c r="F76">
        <f>IF(tableau_de_bord!$F$6="Toutes",SUM(B76:E76),IF(tableau_de_bord!$F$6="Incendies",B76,IF(tableau_de_bord!$F$6="Secours à personne",C76,IF(tableau_de_bord!$F$6="Accidents",D76,IF(tableau_de_bord!$F$6="Opérations diverses",E76,0)))))</f>
        <v/>
      </c>
    </row>
    <row r="77">
      <c r="A77" t="inlineStr">
        <is>
          <t>Pas-de-Calais</t>
        </is>
      </c>
      <c r="B77">
        <f>SUMIFS(donnees_nettoyees!$R$2:$R$200,donnees_nettoyees!$E$2:$E$200,A77,donnees_nettoyees!$C$2:$C$200,IF(tableau_de_bord!$C$6="Toutes","*",tableau_de_bord!$C$6))</f>
        <v/>
      </c>
      <c r="C77">
        <f>SUMIFS(donnees_nettoyees!$AM$2:$AM$200,donnees_nettoyees!$E$2:$E$200,A77,donnees_nettoyees!$C$2:$C$200,IF(tableau_de_bord!$C$6="Toutes","*",tableau_de_bord!$C$6))</f>
        <v/>
      </c>
      <c r="D77">
        <f>SUMIFS(donnees_nettoyees!$AS$2:$AS$200,donnees_nettoyees!$E$2:$E$200,A77,donnees_nettoyees!$C$2:$C$200,IF(tableau_de_bord!$C$6="Toutes","*",tableau_de_bord!$C$6))</f>
        <v/>
      </c>
      <c r="E77">
        <f>SUMIFS(donnees_nettoyees!$BR$2:$BR$200,donnees_nettoyees!$E$2:$E$200,A77,donnees_nettoyees!$C$2:$C$200,IF(tableau_de_bord!$C$6="Toutes","*",tableau_de_bord!$C$6))</f>
        <v/>
      </c>
      <c r="F77">
        <f>IF(tableau_de_bord!$F$6="Toutes",SUM(B77:E77),IF(tableau_de_bord!$F$6="Incendies",B77,IF(tableau_de_bord!$F$6="Secours à personne",C77,IF(tableau_de_bord!$F$6="Accidents",D77,IF(tableau_de_bord!$F$6="Opérations diverses",E77,0)))))</f>
        <v/>
      </c>
    </row>
    <row r="78">
      <c r="A78" t="inlineStr">
        <is>
          <t>Puy-de-D�me</t>
        </is>
      </c>
      <c r="B78">
        <f>SUMIFS(donnees_nettoyees!$R$2:$R$200,donnees_nettoyees!$E$2:$E$200,A78,donnees_nettoyees!$C$2:$C$200,IF(tableau_de_bord!$C$6="Toutes","*",tableau_de_bord!$C$6))</f>
        <v/>
      </c>
      <c r="C78">
        <f>SUMIFS(donnees_nettoyees!$AM$2:$AM$200,donnees_nettoyees!$E$2:$E$200,A78,donnees_nettoyees!$C$2:$C$200,IF(tableau_de_bord!$C$6="Toutes","*",tableau_de_bord!$C$6))</f>
        <v/>
      </c>
      <c r="D78">
        <f>SUMIFS(donnees_nettoyees!$AS$2:$AS$200,donnees_nettoyees!$E$2:$E$200,A78,donnees_nettoyees!$C$2:$C$200,IF(tableau_de_bord!$C$6="Toutes","*",tableau_de_bord!$C$6))</f>
        <v/>
      </c>
      <c r="E78">
        <f>SUMIFS(donnees_nettoyees!$BR$2:$BR$200,donnees_nettoyees!$E$2:$E$200,A78,donnees_nettoyees!$C$2:$C$200,IF(tableau_de_bord!$C$6="Toutes","*",tableau_de_bord!$C$6))</f>
        <v/>
      </c>
      <c r="F78">
        <f>IF(tableau_de_bord!$F$6="Toutes",SUM(B78:E78),IF(tableau_de_bord!$F$6="Incendies",B78,IF(tableau_de_bord!$F$6="Secours à personne",C78,IF(tableau_de_bord!$F$6="Accidents",D78,IF(tableau_de_bord!$F$6="Opérations diverses",E78,0)))))</f>
        <v/>
      </c>
    </row>
    <row r="79">
      <c r="A79" t="inlineStr">
        <is>
          <t>Pyr�n�es-Atlantiques</t>
        </is>
      </c>
      <c r="B79">
        <f>SUMIFS(donnees_nettoyees!$R$2:$R$200,donnees_nettoyees!$E$2:$E$200,A79,donnees_nettoyees!$C$2:$C$200,IF(tableau_de_bord!$C$6="Toutes","*",tableau_de_bord!$C$6))</f>
        <v/>
      </c>
      <c r="C79">
        <f>SUMIFS(donnees_nettoyees!$AM$2:$AM$200,donnees_nettoyees!$E$2:$E$200,A79,donnees_nettoyees!$C$2:$C$200,IF(tableau_de_bord!$C$6="Toutes","*",tableau_de_bord!$C$6))</f>
        <v/>
      </c>
      <c r="D79">
        <f>SUMIFS(donnees_nettoyees!$AS$2:$AS$200,donnees_nettoyees!$E$2:$E$200,A79,donnees_nettoyees!$C$2:$C$200,IF(tableau_de_bord!$C$6="Toutes","*",tableau_de_bord!$C$6))</f>
        <v/>
      </c>
      <c r="E79">
        <f>SUMIFS(donnees_nettoyees!$BR$2:$BR$200,donnees_nettoyees!$E$2:$E$200,A79,donnees_nettoyees!$C$2:$C$200,IF(tableau_de_bord!$C$6="Toutes","*",tableau_de_bord!$C$6))</f>
        <v/>
      </c>
      <c r="F79">
        <f>IF(tableau_de_bord!$F$6="Toutes",SUM(B79:E79),IF(tableau_de_bord!$F$6="Incendies",B79,IF(tableau_de_bord!$F$6="Secours à personne",C79,IF(tableau_de_bord!$F$6="Accidents",D79,IF(tableau_de_bord!$F$6="Opérations diverses",E79,0)))))</f>
        <v/>
      </c>
    </row>
    <row r="80">
      <c r="A80" t="inlineStr">
        <is>
          <t>Pyr�n�es-Orientales</t>
        </is>
      </c>
      <c r="B80">
        <f>SUMIFS(donnees_nettoyees!$R$2:$R$200,donnees_nettoyees!$E$2:$E$200,A80,donnees_nettoyees!$C$2:$C$200,IF(tableau_de_bord!$C$6="Toutes","*",tableau_de_bord!$C$6))</f>
        <v/>
      </c>
      <c r="C80">
        <f>SUMIFS(donnees_nettoyees!$AM$2:$AM$200,donnees_nettoyees!$E$2:$E$200,A80,donnees_nettoyees!$C$2:$C$200,IF(tableau_de_bord!$C$6="Toutes","*",tableau_de_bord!$C$6))</f>
        <v/>
      </c>
      <c r="D80">
        <f>SUMIFS(donnees_nettoyees!$AS$2:$AS$200,donnees_nettoyees!$E$2:$E$200,A80,donnees_nettoyees!$C$2:$C$200,IF(tableau_de_bord!$C$6="Toutes","*",tableau_de_bord!$C$6))</f>
        <v/>
      </c>
      <c r="E80">
        <f>SUMIFS(donnees_nettoyees!$BR$2:$BR$200,donnees_nettoyees!$E$2:$E$200,A80,donnees_nettoyees!$C$2:$C$200,IF(tableau_de_bord!$C$6="Toutes","*",tableau_de_bord!$C$6))</f>
        <v/>
      </c>
      <c r="F80">
        <f>IF(tableau_de_bord!$F$6="Toutes",SUM(B80:E80),IF(tableau_de_bord!$F$6="Incendies",B80,IF(tableau_de_bord!$F$6="Secours à personne",C80,IF(tableau_de_bord!$F$6="Accidents",D80,IF(tableau_de_bord!$F$6="Opérations diverses",E80,0)))))</f>
        <v/>
      </c>
    </row>
    <row r="81">
      <c r="A81" t="inlineStr">
        <is>
          <t>Rh�ne</t>
        </is>
      </c>
      <c r="B81">
        <f>SUMIFS(donnees_nettoyees!$R$2:$R$200,donnees_nettoyees!$E$2:$E$200,A81,donnees_nettoyees!$C$2:$C$200,IF(tableau_de_bord!$C$6="Toutes","*",tableau_de_bord!$C$6))</f>
        <v/>
      </c>
      <c r="C81">
        <f>SUMIFS(donnees_nettoyees!$AM$2:$AM$200,donnees_nettoyees!$E$2:$E$200,A81,donnees_nettoyees!$C$2:$C$200,IF(tableau_de_bord!$C$6="Toutes","*",tableau_de_bord!$C$6))</f>
        <v/>
      </c>
      <c r="D81">
        <f>SUMIFS(donnees_nettoyees!$AS$2:$AS$200,donnees_nettoyees!$E$2:$E$200,A81,donnees_nettoyees!$C$2:$C$200,IF(tableau_de_bord!$C$6="Toutes","*",tableau_de_bord!$C$6))</f>
        <v/>
      </c>
      <c r="E81">
        <f>SUMIFS(donnees_nettoyees!$BR$2:$BR$200,donnees_nettoyees!$E$2:$E$200,A81,donnees_nettoyees!$C$2:$C$200,IF(tableau_de_bord!$C$6="Toutes","*",tableau_de_bord!$C$6))</f>
        <v/>
      </c>
      <c r="F81">
        <f>IF(tableau_de_bord!$F$6="Toutes",SUM(B81:E81),IF(tableau_de_bord!$F$6="Incendies",B81,IF(tableau_de_bord!$F$6="Secours à personne",C81,IF(tableau_de_bord!$F$6="Accidents",D81,IF(tableau_de_bord!$F$6="Opérations diverses",E81,0)))))</f>
        <v/>
      </c>
    </row>
    <row r="82">
      <c r="A82" t="inlineStr">
        <is>
          <t>R�union</t>
        </is>
      </c>
      <c r="B82">
        <f>SUMIFS(donnees_nettoyees!$R$2:$R$200,donnees_nettoyees!$E$2:$E$200,A82,donnees_nettoyees!$C$2:$C$200,IF(tableau_de_bord!$C$6="Toutes","*",tableau_de_bord!$C$6))</f>
        <v/>
      </c>
      <c r="C82">
        <f>SUMIFS(donnees_nettoyees!$AM$2:$AM$200,donnees_nettoyees!$E$2:$E$200,A82,donnees_nettoyees!$C$2:$C$200,IF(tableau_de_bord!$C$6="Toutes","*",tableau_de_bord!$C$6))</f>
        <v/>
      </c>
      <c r="D82">
        <f>SUMIFS(donnees_nettoyees!$AS$2:$AS$200,donnees_nettoyees!$E$2:$E$200,A82,donnees_nettoyees!$C$2:$C$200,IF(tableau_de_bord!$C$6="Toutes","*",tableau_de_bord!$C$6))</f>
        <v/>
      </c>
      <c r="E82">
        <f>SUMIFS(donnees_nettoyees!$BR$2:$BR$200,donnees_nettoyees!$E$2:$E$200,A82,donnees_nettoyees!$C$2:$C$200,IF(tableau_de_bord!$C$6="Toutes","*",tableau_de_bord!$C$6))</f>
        <v/>
      </c>
      <c r="F82">
        <f>IF(tableau_de_bord!$F$6="Toutes",SUM(B82:E82),IF(tableau_de_bord!$F$6="Incendies",B82,IF(tableau_de_bord!$F$6="Secours à personne",C82,IF(tableau_de_bord!$F$6="Accidents",D82,IF(tableau_de_bord!$F$6="Opérations diverses",E82,0)))))</f>
        <v/>
      </c>
    </row>
    <row r="83">
      <c r="A83" t="inlineStr">
        <is>
          <t>Sarthe</t>
        </is>
      </c>
      <c r="B83">
        <f>SUMIFS(donnees_nettoyees!$R$2:$R$200,donnees_nettoyees!$E$2:$E$200,A83,donnees_nettoyees!$C$2:$C$200,IF(tableau_de_bord!$C$6="Toutes","*",tableau_de_bord!$C$6))</f>
        <v/>
      </c>
      <c r="C83">
        <f>SUMIFS(donnees_nettoyees!$AM$2:$AM$200,donnees_nettoyees!$E$2:$E$200,A83,donnees_nettoyees!$C$2:$C$200,IF(tableau_de_bord!$C$6="Toutes","*",tableau_de_bord!$C$6))</f>
        <v/>
      </c>
      <c r="D83">
        <f>SUMIFS(donnees_nettoyees!$AS$2:$AS$200,donnees_nettoyees!$E$2:$E$200,A83,donnees_nettoyees!$C$2:$C$200,IF(tableau_de_bord!$C$6="Toutes","*",tableau_de_bord!$C$6))</f>
        <v/>
      </c>
      <c r="E83">
        <f>SUMIFS(donnees_nettoyees!$BR$2:$BR$200,donnees_nettoyees!$E$2:$E$200,A83,donnees_nettoyees!$C$2:$C$200,IF(tableau_de_bord!$C$6="Toutes","*",tableau_de_bord!$C$6))</f>
        <v/>
      </c>
      <c r="F83">
        <f>IF(tableau_de_bord!$F$6="Toutes",SUM(B83:E83),IF(tableau_de_bord!$F$6="Incendies",B83,IF(tableau_de_bord!$F$6="Secours à personne",C83,IF(tableau_de_bord!$F$6="Accidents",D83,IF(tableau_de_bord!$F$6="Opérations diverses",E83,0)))))</f>
        <v/>
      </c>
    </row>
    <row r="84">
      <c r="A84" t="inlineStr">
        <is>
          <t>Savoie</t>
        </is>
      </c>
      <c r="B84">
        <f>SUMIFS(donnees_nettoyees!$R$2:$R$200,donnees_nettoyees!$E$2:$E$200,A84,donnees_nettoyees!$C$2:$C$200,IF(tableau_de_bord!$C$6="Toutes","*",tableau_de_bord!$C$6))</f>
        <v/>
      </c>
      <c r="C84">
        <f>SUMIFS(donnees_nettoyees!$AM$2:$AM$200,donnees_nettoyees!$E$2:$E$200,A84,donnees_nettoyees!$C$2:$C$200,IF(tableau_de_bord!$C$6="Toutes","*",tableau_de_bord!$C$6))</f>
        <v/>
      </c>
      <c r="D84">
        <f>SUMIFS(donnees_nettoyees!$AS$2:$AS$200,donnees_nettoyees!$E$2:$E$200,A84,donnees_nettoyees!$C$2:$C$200,IF(tableau_de_bord!$C$6="Toutes","*",tableau_de_bord!$C$6))</f>
        <v/>
      </c>
      <c r="E84">
        <f>SUMIFS(donnees_nettoyees!$BR$2:$BR$200,donnees_nettoyees!$E$2:$E$200,A84,donnees_nettoyees!$C$2:$C$200,IF(tableau_de_bord!$C$6="Toutes","*",tableau_de_bord!$C$6))</f>
        <v/>
      </c>
      <c r="F84">
        <f>IF(tableau_de_bord!$F$6="Toutes",SUM(B84:E84),IF(tableau_de_bord!$F$6="Incendies",B84,IF(tableau_de_bord!$F$6="Secours à personne",C84,IF(tableau_de_bord!$F$6="Accidents",D84,IF(tableau_de_bord!$F$6="Opérations diverses",E84,0)))))</f>
        <v/>
      </c>
    </row>
    <row r="85">
      <c r="A85" t="inlineStr">
        <is>
          <t>Sa�ne-et-Loire</t>
        </is>
      </c>
      <c r="B85">
        <f>SUMIFS(donnees_nettoyees!$R$2:$R$200,donnees_nettoyees!$E$2:$E$200,A85,donnees_nettoyees!$C$2:$C$200,IF(tableau_de_bord!$C$6="Toutes","*",tableau_de_bord!$C$6))</f>
        <v/>
      </c>
      <c r="C85">
        <f>SUMIFS(donnees_nettoyees!$AM$2:$AM$200,donnees_nettoyees!$E$2:$E$200,A85,donnees_nettoyees!$C$2:$C$200,IF(tableau_de_bord!$C$6="Toutes","*",tableau_de_bord!$C$6))</f>
        <v/>
      </c>
      <c r="D85">
        <f>SUMIFS(donnees_nettoyees!$AS$2:$AS$200,donnees_nettoyees!$E$2:$E$200,A85,donnees_nettoyees!$C$2:$C$200,IF(tableau_de_bord!$C$6="Toutes","*",tableau_de_bord!$C$6))</f>
        <v/>
      </c>
      <c r="E85">
        <f>SUMIFS(donnees_nettoyees!$BR$2:$BR$200,donnees_nettoyees!$E$2:$E$200,A85,donnees_nettoyees!$C$2:$C$200,IF(tableau_de_bord!$C$6="Toutes","*",tableau_de_bord!$C$6))</f>
        <v/>
      </c>
      <c r="F85">
        <f>IF(tableau_de_bord!$F$6="Toutes",SUM(B85:E85),IF(tableau_de_bord!$F$6="Incendies",B85,IF(tableau_de_bord!$F$6="Secours à personne",C85,IF(tableau_de_bord!$F$6="Accidents",D85,IF(tableau_de_bord!$F$6="Opérations diverses",E85,0)))))</f>
        <v/>
      </c>
    </row>
    <row r="86">
      <c r="A86" t="inlineStr">
        <is>
          <t>Seine-Maritime</t>
        </is>
      </c>
      <c r="B86">
        <f>SUMIFS(donnees_nettoyees!$R$2:$R$200,donnees_nettoyees!$E$2:$E$200,A86,donnees_nettoyees!$C$2:$C$200,IF(tableau_de_bord!$C$6="Toutes","*",tableau_de_bord!$C$6))</f>
        <v/>
      </c>
      <c r="C86">
        <f>SUMIFS(donnees_nettoyees!$AM$2:$AM$200,donnees_nettoyees!$E$2:$E$200,A86,donnees_nettoyees!$C$2:$C$200,IF(tableau_de_bord!$C$6="Toutes","*",tableau_de_bord!$C$6))</f>
        <v/>
      </c>
      <c r="D86">
        <f>SUMIFS(donnees_nettoyees!$AS$2:$AS$200,donnees_nettoyees!$E$2:$E$200,A86,donnees_nettoyees!$C$2:$C$200,IF(tableau_de_bord!$C$6="Toutes","*",tableau_de_bord!$C$6))</f>
        <v/>
      </c>
      <c r="E86">
        <f>SUMIFS(donnees_nettoyees!$BR$2:$BR$200,donnees_nettoyees!$E$2:$E$200,A86,donnees_nettoyees!$C$2:$C$200,IF(tableau_de_bord!$C$6="Toutes","*",tableau_de_bord!$C$6))</f>
        <v/>
      </c>
      <c r="F86">
        <f>IF(tableau_de_bord!$F$6="Toutes",SUM(B86:E86),IF(tableau_de_bord!$F$6="Incendies",B86,IF(tableau_de_bord!$F$6="Secours à personne",C86,IF(tableau_de_bord!$F$6="Accidents",D86,IF(tableau_de_bord!$F$6="Opérations diverses",E86,0)))))</f>
        <v/>
      </c>
    </row>
    <row r="87">
      <c r="A87" t="inlineStr">
        <is>
          <t>Seine-et-Marne</t>
        </is>
      </c>
      <c r="B87">
        <f>SUMIFS(donnees_nettoyees!$R$2:$R$200,donnees_nettoyees!$E$2:$E$200,A87,donnees_nettoyees!$C$2:$C$200,IF(tableau_de_bord!$C$6="Toutes","*",tableau_de_bord!$C$6))</f>
        <v/>
      </c>
      <c r="C87">
        <f>SUMIFS(donnees_nettoyees!$AM$2:$AM$200,donnees_nettoyees!$E$2:$E$200,A87,donnees_nettoyees!$C$2:$C$200,IF(tableau_de_bord!$C$6="Toutes","*",tableau_de_bord!$C$6))</f>
        <v/>
      </c>
      <c r="D87">
        <f>SUMIFS(donnees_nettoyees!$AS$2:$AS$200,donnees_nettoyees!$E$2:$E$200,A87,donnees_nettoyees!$C$2:$C$200,IF(tableau_de_bord!$C$6="Toutes","*",tableau_de_bord!$C$6))</f>
        <v/>
      </c>
      <c r="E87">
        <f>SUMIFS(donnees_nettoyees!$BR$2:$BR$200,donnees_nettoyees!$E$2:$E$200,A87,donnees_nettoyees!$C$2:$C$200,IF(tableau_de_bord!$C$6="Toutes","*",tableau_de_bord!$C$6))</f>
        <v/>
      </c>
      <c r="F87">
        <f>IF(tableau_de_bord!$F$6="Toutes",SUM(B87:E87),IF(tableau_de_bord!$F$6="Incendies",B87,IF(tableau_de_bord!$F$6="Secours à personne",C87,IF(tableau_de_bord!$F$6="Accidents",D87,IF(tableau_de_bord!$F$6="Opérations diverses",E87,0)))))</f>
        <v/>
      </c>
    </row>
    <row r="88">
      <c r="A88" t="inlineStr">
        <is>
          <t>Somme</t>
        </is>
      </c>
      <c r="B88">
        <f>SUMIFS(donnees_nettoyees!$R$2:$R$200,donnees_nettoyees!$E$2:$E$200,A88,donnees_nettoyees!$C$2:$C$200,IF(tableau_de_bord!$C$6="Toutes","*",tableau_de_bord!$C$6))</f>
        <v/>
      </c>
      <c r="C88">
        <f>SUMIFS(donnees_nettoyees!$AM$2:$AM$200,donnees_nettoyees!$E$2:$E$200,A88,donnees_nettoyees!$C$2:$C$200,IF(tableau_de_bord!$C$6="Toutes","*",tableau_de_bord!$C$6))</f>
        <v/>
      </c>
      <c r="D88">
        <f>SUMIFS(donnees_nettoyees!$AS$2:$AS$200,donnees_nettoyees!$E$2:$E$200,A88,donnees_nettoyees!$C$2:$C$200,IF(tableau_de_bord!$C$6="Toutes","*",tableau_de_bord!$C$6))</f>
        <v/>
      </c>
      <c r="E88">
        <f>SUMIFS(donnees_nettoyees!$BR$2:$BR$200,donnees_nettoyees!$E$2:$E$200,A88,donnees_nettoyees!$C$2:$C$200,IF(tableau_de_bord!$C$6="Toutes","*",tableau_de_bord!$C$6))</f>
        <v/>
      </c>
      <c r="F88">
        <f>IF(tableau_de_bord!$F$6="Toutes",SUM(B88:E88),IF(tableau_de_bord!$F$6="Incendies",B88,IF(tableau_de_bord!$F$6="Secours à personne",C88,IF(tableau_de_bord!$F$6="Accidents",D88,IF(tableau_de_bord!$F$6="Opérations diverses",E88,0)))))</f>
        <v/>
      </c>
    </row>
    <row r="89">
      <c r="A89" t="inlineStr">
        <is>
          <t>Tarn</t>
        </is>
      </c>
      <c r="B89">
        <f>SUMIFS(donnees_nettoyees!$R$2:$R$200,donnees_nettoyees!$E$2:$E$200,A89,donnees_nettoyees!$C$2:$C$200,IF(tableau_de_bord!$C$6="Toutes","*",tableau_de_bord!$C$6))</f>
        <v/>
      </c>
      <c r="C89">
        <f>SUMIFS(donnees_nettoyees!$AM$2:$AM$200,donnees_nettoyees!$E$2:$E$200,A89,donnees_nettoyees!$C$2:$C$200,IF(tableau_de_bord!$C$6="Toutes","*",tableau_de_bord!$C$6))</f>
        <v/>
      </c>
      <c r="D89">
        <f>SUMIFS(donnees_nettoyees!$AS$2:$AS$200,donnees_nettoyees!$E$2:$E$200,A89,donnees_nettoyees!$C$2:$C$200,IF(tableau_de_bord!$C$6="Toutes","*",tableau_de_bord!$C$6))</f>
        <v/>
      </c>
      <c r="E89">
        <f>SUMIFS(donnees_nettoyees!$BR$2:$BR$200,donnees_nettoyees!$E$2:$E$200,A89,donnees_nettoyees!$C$2:$C$200,IF(tableau_de_bord!$C$6="Toutes","*",tableau_de_bord!$C$6))</f>
        <v/>
      </c>
      <c r="F89">
        <f>IF(tableau_de_bord!$F$6="Toutes",SUM(B89:E89),IF(tableau_de_bord!$F$6="Incendies",B89,IF(tableau_de_bord!$F$6="Secours à personne",C89,IF(tableau_de_bord!$F$6="Accidents",D89,IF(tableau_de_bord!$F$6="Opérations diverses",E89,0)))))</f>
        <v/>
      </c>
    </row>
    <row r="90">
      <c r="A90" t="inlineStr">
        <is>
          <t>Tarn-et-Garonne</t>
        </is>
      </c>
      <c r="B90">
        <f>SUMIFS(donnees_nettoyees!$R$2:$R$200,donnees_nettoyees!$E$2:$E$200,A90,donnees_nettoyees!$C$2:$C$200,IF(tableau_de_bord!$C$6="Toutes","*",tableau_de_bord!$C$6))</f>
        <v/>
      </c>
      <c r="C90">
        <f>SUMIFS(donnees_nettoyees!$AM$2:$AM$200,donnees_nettoyees!$E$2:$E$200,A90,donnees_nettoyees!$C$2:$C$200,IF(tableau_de_bord!$C$6="Toutes","*",tableau_de_bord!$C$6))</f>
        <v/>
      </c>
      <c r="D90">
        <f>SUMIFS(donnees_nettoyees!$AS$2:$AS$200,donnees_nettoyees!$E$2:$E$200,A90,donnees_nettoyees!$C$2:$C$200,IF(tableau_de_bord!$C$6="Toutes","*",tableau_de_bord!$C$6))</f>
        <v/>
      </c>
      <c r="E90">
        <f>SUMIFS(donnees_nettoyees!$BR$2:$BR$200,donnees_nettoyees!$E$2:$E$200,A90,donnees_nettoyees!$C$2:$C$200,IF(tableau_de_bord!$C$6="Toutes","*",tableau_de_bord!$C$6))</f>
        <v/>
      </c>
      <c r="F90">
        <f>IF(tableau_de_bord!$F$6="Toutes",SUM(B90:E90),IF(tableau_de_bord!$F$6="Incendies",B90,IF(tableau_de_bord!$F$6="Secours à personne",C90,IF(tableau_de_bord!$F$6="Accidents",D90,IF(tableau_de_bord!$F$6="Opérations diverses",E90,0)))))</f>
        <v/>
      </c>
    </row>
    <row r="91">
      <c r="A91" t="inlineStr">
        <is>
          <t>Territoire-de-Belfort</t>
        </is>
      </c>
      <c r="B91">
        <f>SUMIFS(donnees_nettoyees!$R$2:$R$200,donnees_nettoyees!$E$2:$E$200,A91,donnees_nettoyees!$C$2:$C$200,IF(tableau_de_bord!$C$6="Toutes","*",tableau_de_bord!$C$6))</f>
        <v/>
      </c>
      <c r="C91">
        <f>SUMIFS(donnees_nettoyees!$AM$2:$AM$200,donnees_nettoyees!$E$2:$E$200,A91,donnees_nettoyees!$C$2:$C$200,IF(tableau_de_bord!$C$6="Toutes","*",tableau_de_bord!$C$6))</f>
        <v/>
      </c>
      <c r="D91">
        <f>SUMIFS(donnees_nettoyees!$AS$2:$AS$200,donnees_nettoyees!$E$2:$E$200,A91,donnees_nettoyees!$C$2:$C$200,IF(tableau_de_bord!$C$6="Toutes","*",tableau_de_bord!$C$6))</f>
        <v/>
      </c>
      <c r="E91">
        <f>SUMIFS(donnees_nettoyees!$BR$2:$BR$200,donnees_nettoyees!$E$2:$E$200,A91,donnees_nettoyees!$C$2:$C$200,IF(tableau_de_bord!$C$6="Toutes","*",tableau_de_bord!$C$6))</f>
        <v/>
      </c>
      <c r="F91">
        <f>IF(tableau_de_bord!$F$6="Toutes",SUM(B91:E91),IF(tableau_de_bord!$F$6="Incendies",B91,IF(tableau_de_bord!$F$6="Secours à personne",C91,IF(tableau_de_bord!$F$6="Accidents",D91,IF(tableau_de_bord!$F$6="Opérations diverses",E91,0)))))</f>
        <v/>
      </c>
    </row>
    <row r="92">
      <c r="A92" t="inlineStr">
        <is>
          <t>Val-d'Oise</t>
        </is>
      </c>
      <c r="B92">
        <f>SUMIFS(donnees_nettoyees!$R$2:$R$200,donnees_nettoyees!$E$2:$E$200,A92,donnees_nettoyees!$C$2:$C$200,IF(tableau_de_bord!$C$6="Toutes","*",tableau_de_bord!$C$6))</f>
        <v/>
      </c>
      <c r="C92">
        <f>SUMIFS(donnees_nettoyees!$AM$2:$AM$200,donnees_nettoyees!$E$2:$E$200,A92,donnees_nettoyees!$C$2:$C$200,IF(tableau_de_bord!$C$6="Toutes","*",tableau_de_bord!$C$6))</f>
        <v/>
      </c>
      <c r="D92">
        <f>SUMIFS(donnees_nettoyees!$AS$2:$AS$200,donnees_nettoyees!$E$2:$E$200,A92,donnees_nettoyees!$C$2:$C$200,IF(tableau_de_bord!$C$6="Toutes","*",tableau_de_bord!$C$6))</f>
        <v/>
      </c>
      <c r="E92">
        <f>SUMIFS(donnees_nettoyees!$BR$2:$BR$200,donnees_nettoyees!$E$2:$E$200,A92,donnees_nettoyees!$C$2:$C$200,IF(tableau_de_bord!$C$6="Toutes","*",tableau_de_bord!$C$6))</f>
        <v/>
      </c>
      <c r="F92">
        <f>IF(tableau_de_bord!$F$6="Toutes",SUM(B92:E92),IF(tableau_de_bord!$F$6="Incendies",B92,IF(tableau_de_bord!$F$6="Secours à personne",C92,IF(tableau_de_bord!$F$6="Accidents",D92,IF(tableau_de_bord!$F$6="Opérations diverses",E92,0)))))</f>
        <v/>
      </c>
    </row>
    <row r="93">
      <c r="A93" t="inlineStr">
        <is>
          <t>Var</t>
        </is>
      </c>
      <c r="B93">
        <f>SUMIFS(donnees_nettoyees!$R$2:$R$200,donnees_nettoyees!$E$2:$E$200,A93,donnees_nettoyees!$C$2:$C$200,IF(tableau_de_bord!$C$6="Toutes","*",tableau_de_bord!$C$6))</f>
        <v/>
      </c>
      <c r="C93">
        <f>SUMIFS(donnees_nettoyees!$AM$2:$AM$200,donnees_nettoyees!$E$2:$E$200,A93,donnees_nettoyees!$C$2:$C$200,IF(tableau_de_bord!$C$6="Toutes","*",tableau_de_bord!$C$6))</f>
        <v/>
      </c>
      <c r="D93">
        <f>SUMIFS(donnees_nettoyees!$AS$2:$AS$200,donnees_nettoyees!$E$2:$E$200,A93,donnees_nettoyees!$C$2:$C$200,IF(tableau_de_bord!$C$6="Toutes","*",tableau_de_bord!$C$6))</f>
        <v/>
      </c>
      <c r="E93">
        <f>SUMIFS(donnees_nettoyees!$BR$2:$BR$200,donnees_nettoyees!$E$2:$E$200,A93,donnees_nettoyees!$C$2:$C$200,IF(tableau_de_bord!$C$6="Toutes","*",tableau_de_bord!$C$6))</f>
        <v/>
      </c>
      <c r="F93">
        <f>IF(tableau_de_bord!$F$6="Toutes",SUM(B93:E93),IF(tableau_de_bord!$F$6="Incendies",B93,IF(tableau_de_bord!$F$6="Secours à personne",C93,IF(tableau_de_bord!$F$6="Accidents",D93,IF(tableau_de_bord!$F$6="Opérations diverses",E93,0)))))</f>
        <v/>
      </c>
    </row>
    <row r="94">
      <c r="A94" t="inlineStr">
        <is>
          <t>Vaucluse</t>
        </is>
      </c>
      <c r="B94">
        <f>SUMIFS(donnees_nettoyees!$R$2:$R$200,donnees_nettoyees!$E$2:$E$200,A94,donnees_nettoyees!$C$2:$C$200,IF(tableau_de_bord!$C$6="Toutes","*",tableau_de_bord!$C$6))</f>
        <v/>
      </c>
      <c r="C94">
        <f>SUMIFS(donnees_nettoyees!$AM$2:$AM$200,donnees_nettoyees!$E$2:$E$200,A94,donnees_nettoyees!$C$2:$C$200,IF(tableau_de_bord!$C$6="Toutes","*",tableau_de_bord!$C$6))</f>
        <v/>
      </c>
      <c r="D94">
        <f>SUMIFS(donnees_nettoyees!$AS$2:$AS$200,donnees_nettoyees!$E$2:$E$200,A94,donnees_nettoyees!$C$2:$C$200,IF(tableau_de_bord!$C$6="Toutes","*",tableau_de_bord!$C$6))</f>
        <v/>
      </c>
      <c r="E94">
        <f>SUMIFS(donnees_nettoyees!$BR$2:$BR$200,donnees_nettoyees!$E$2:$E$200,A94,donnees_nettoyees!$C$2:$C$200,IF(tableau_de_bord!$C$6="Toutes","*",tableau_de_bord!$C$6))</f>
        <v/>
      </c>
      <c r="F94">
        <f>IF(tableau_de_bord!$F$6="Toutes",SUM(B94:E94),IF(tableau_de_bord!$F$6="Incendies",B94,IF(tableau_de_bord!$F$6="Secours à personne",C94,IF(tableau_de_bord!$F$6="Accidents",D94,IF(tableau_de_bord!$F$6="Opérations diverses",E94,0)))))</f>
        <v/>
      </c>
    </row>
    <row r="95">
      <c r="A95" t="inlineStr">
        <is>
          <t>Vend�e</t>
        </is>
      </c>
      <c r="B95">
        <f>SUMIFS(donnees_nettoyees!$R$2:$R$200,donnees_nettoyees!$E$2:$E$200,A95,donnees_nettoyees!$C$2:$C$200,IF(tableau_de_bord!$C$6="Toutes","*",tableau_de_bord!$C$6))</f>
        <v/>
      </c>
      <c r="C95">
        <f>SUMIFS(donnees_nettoyees!$AM$2:$AM$200,donnees_nettoyees!$E$2:$E$200,A95,donnees_nettoyees!$C$2:$C$200,IF(tableau_de_bord!$C$6="Toutes","*",tableau_de_bord!$C$6))</f>
        <v/>
      </c>
      <c r="D95">
        <f>SUMIFS(donnees_nettoyees!$AS$2:$AS$200,donnees_nettoyees!$E$2:$E$200,A95,donnees_nettoyees!$C$2:$C$200,IF(tableau_de_bord!$C$6="Toutes","*",tableau_de_bord!$C$6))</f>
        <v/>
      </c>
      <c r="E95">
        <f>SUMIFS(donnees_nettoyees!$BR$2:$BR$200,donnees_nettoyees!$E$2:$E$200,A95,donnees_nettoyees!$C$2:$C$200,IF(tableau_de_bord!$C$6="Toutes","*",tableau_de_bord!$C$6))</f>
        <v/>
      </c>
      <c r="F95">
        <f>IF(tableau_de_bord!$F$6="Toutes",SUM(B95:E95),IF(tableau_de_bord!$F$6="Incendies",B95,IF(tableau_de_bord!$F$6="Secours à personne",C95,IF(tableau_de_bord!$F$6="Accidents",D95,IF(tableau_de_bord!$F$6="Opérations diverses",E95,0)))))</f>
        <v/>
      </c>
    </row>
    <row r="96">
      <c r="A96" t="inlineStr">
        <is>
          <t>Vienne</t>
        </is>
      </c>
      <c r="B96">
        <f>SUMIFS(donnees_nettoyees!$R$2:$R$200,donnees_nettoyees!$E$2:$E$200,A96,donnees_nettoyees!$C$2:$C$200,IF(tableau_de_bord!$C$6="Toutes","*",tableau_de_bord!$C$6))</f>
        <v/>
      </c>
      <c r="C96">
        <f>SUMIFS(donnees_nettoyees!$AM$2:$AM$200,donnees_nettoyees!$E$2:$E$200,A96,donnees_nettoyees!$C$2:$C$200,IF(tableau_de_bord!$C$6="Toutes","*",tableau_de_bord!$C$6))</f>
        <v/>
      </c>
      <c r="D96">
        <f>SUMIFS(donnees_nettoyees!$AS$2:$AS$200,donnees_nettoyees!$E$2:$E$200,A96,donnees_nettoyees!$C$2:$C$200,IF(tableau_de_bord!$C$6="Toutes","*",tableau_de_bord!$C$6))</f>
        <v/>
      </c>
      <c r="E96">
        <f>SUMIFS(donnees_nettoyees!$BR$2:$BR$200,donnees_nettoyees!$E$2:$E$200,A96,donnees_nettoyees!$C$2:$C$200,IF(tableau_de_bord!$C$6="Toutes","*",tableau_de_bord!$C$6))</f>
        <v/>
      </c>
      <c r="F96">
        <f>IF(tableau_de_bord!$F$6="Toutes",SUM(B96:E96),IF(tableau_de_bord!$F$6="Incendies",B96,IF(tableau_de_bord!$F$6="Secours à personne",C96,IF(tableau_de_bord!$F$6="Accidents",D96,IF(tableau_de_bord!$F$6="Opérations diverses",E96,0)))))</f>
        <v/>
      </c>
    </row>
    <row r="97">
      <c r="A97" t="inlineStr">
        <is>
          <t>Vosges</t>
        </is>
      </c>
      <c r="B97">
        <f>SUMIFS(donnees_nettoyees!$R$2:$R$200,donnees_nettoyees!$E$2:$E$200,A97,donnees_nettoyees!$C$2:$C$200,IF(tableau_de_bord!$C$6="Toutes","*",tableau_de_bord!$C$6))</f>
        <v/>
      </c>
      <c r="C97">
        <f>SUMIFS(donnees_nettoyees!$AM$2:$AM$200,donnees_nettoyees!$E$2:$E$200,A97,donnees_nettoyees!$C$2:$C$200,IF(tableau_de_bord!$C$6="Toutes","*",tableau_de_bord!$C$6))</f>
        <v/>
      </c>
      <c r="D97">
        <f>SUMIFS(donnees_nettoyees!$AS$2:$AS$200,donnees_nettoyees!$E$2:$E$200,A97,donnees_nettoyees!$C$2:$C$200,IF(tableau_de_bord!$C$6="Toutes","*",tableau_de_bord!$C$6))</f>
        <v/>
      </c>
      <c r="E97">
        <f>SUMIFS(donnees_nettoyees!$BR$2:$BR$200,donnees_nettoyees!$E$2:$E$200,A97,donnees_nettoyees!$C$2:$C$200,IF(tableau_de_bord!$C$6="Toutes","*",tableau_de_bord!$C$6))</f>
        <v/>
      </c>
      <c r="F97">
        <f>IF(tableau_de_bord!$F$6="Toutes",SUM(B97:E97),IF(tableau_de_bord!$F$6="Incendies",B97,IF(tableau_de_bord!$F$6="Secours à personne",C97,IF(tableau_de_bord!$F$6="Accidents",D97,IF(tableau_de_bord!$F$6="Opérations diverses",E97,0)))))</f>
        <v/>
      </c>
    </row>
    <row r="98">
      <c r="A98" t="inlineStr">
        <is>
          <t>Yonne</t>
        </is>
      </c>
      <c r="B98">
        <f>SUMIFS(donnees_nettoyees!$R$2:$R$200,donnees_nettoyees!$E$2:$E$200,A98,donnees_nettoyees!$C$2:$C$200,IF(tableau_de_bord!$C$6="Toutes","*",tableau_de_bord!$C$6))</f>
        <v/>
      </c>
      <c r="C98">
        <f>SUMIFS(donnees_nettoyees!$AM$2:$AM$200,donnees_nettoyees!$E$2:$E$200,A98,donnees_nettoyees!$C$2:$C$200,IF(tableau_de_bord!$C$6="Toutes","*",tableau_de_bord!$C$6))</f>
        <v/>
      </c>
      <c r="D98">
        <f>SUMIFS(donnees_nettoyees!$AS$2:$AS$200,donnees_nettoyees!$E$2:$E$200,A98,donnees_nettoyees!$C$2:$C$200,IF(tableau_de_bord!$C$6="Toutes","*",tableau_de_bord!$C$6))</f>
        <v/>
      </c>
      <c r="E98">
        <f>SUMIFS(donnees_nettoyees!$BR$2:$BR$200,donnees_nettoyees!$E$2:$E$200,A98,donnees_nettoyees!$C$2:$C$200,IF(tableau_de_bord!$C$6="Toutes","*",tableau_de_bord!$C$6))</f>
        <v/>
      </c>
      <c r="F98">
        <f>IF(tableau_de_bord!$F$6="Toutes",SUM(B98:E98),IF(tableau_de_bord!$F$6="Incendies",B98,IF(tableau_de_bord!$F$6="Secours à personne",C98,IF(tableau_de_bord!$F$6="Accidents",D98,IF(tableau_de_bord!$F$6="Opérations diverses",E98,0)))))</f>
        <v/>
      </c>
    </row>
    <row r="99">
      <c r="A99" t="inlineStr">
        <is>
          <t>Yvelines</t>
        </is>
      </c>
      <c r="B99">
        <f>SUMIFS(donnees_nettoyees!$R$2:$R$200,donnees_nettoyees!$E$2:$E$200,A99,donnees_nettoyees!$C$2:$C$200,IF(tableau_de_bord!$C$6="Toutes","*",tableau_de_bord!$C$6))</f>
        <v/>
      </c>
      <c r="C99">
        <f>SUMIFS(donnees_nettoyees!$AM$2:$AM$200,donnees_nettoyees!$E$2:$E$200,A99,donnees_nettoyees!$C$2:$C$200,IF(tableau_de_bord!$C$6="Toutes","*",tableau_de_bord!$C$6))</f>
        <v/>
      </c>
      <c r="D99">
        <f>SUMIFS(donnees_nettoyees!$AS$2:$AS$200,donnees_nettoyees!$E$2:$E$200,A99,donnees_nettoyees!$C$2:$C$200,IF(tableau_de_bord!$C$6="Toutes","*",tableau_de_bord!$C$6))</f>
        <v/>
      </c>
      <c r="E99">
        <f>SUMIFS(donnees_nettoyees!$BR$2:$BR$200,donnees_nettoyees!$E$2:$E$200,A99,donnees_nettoyees!$C$2:$C$200,IF(tableau_de_bord!$C$6="Toutes","*",tableau_de_bord!$C$6))</f>
        <v/>
      </c>
      <c r="F99">
        <f>IF(tableau_de_bord!$F$6="Toutes",SUM(B99:E99),IF(tableau_de_bord!$F$6="Incendies",B99,IF(tableau_de_bord!$F$6="Secours à personne",C99,IF(tableau_de_bord!$F$6="Accidents",D99,IF(tableau_de_bord!$F$6="Opérations diverses",E99,0)))))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2026-06-02T10:16:35Z</dcterms:created>
  <dcterms:modified xsi:type="dcterms:W3CDTF">2026-06-02T10:16:35Z</dcterms:modified>
</cp:coreProperties>
</file>