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_de_bord" sheetId="1" state="visible" r:id="rId1"/>
    <sheet name="donnees_nettoyees" sheetId="2" state="visible" r:id="rId2"/>
    <sheet name="listes_filtres" sheetId="3" state="hidden" r:id="rId3"/>
    <sheet name="calcul_dashboard" sheetId="4" state="hidden" r:id="rId4"/>
  </sheets>
  <definedNames>
    <definedName name="_xlnm._FilterDatabase" localSheetId="1" hidden="1">'donnees_nettoyees'!$A$1:$BS$100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8"/>
    </font>
    <font>
      <b val="1"/>
      <color rgb="00FFFFFF"/>
    </font>
    <font>
      <b val="1"/>
      <color rgb="00FFFFFF"/>
      <sz val="11"/>
    </font>
    <font>
      <b val="1"/>
      <sz val="12"/>
    </font>
    <font>
      <b val="1"/>
      <sz val="15"/>
    </font>
  </fonts>
  <fills count="5">
    <fill>
      <patternFill/>
    </fill>
    <fill>
      <patternFill patternType="gray125"/>
    </fill>
    <fill>
      <patternFill patternType="solid">
        <fgColor rgb="006AA84F"/>
      </patternFill>
    </fill>
    <fill>
      <patternFill patternType="solid">
        <fgColor rgb="00D9EAD3"/>
      </patternFill>
    </fill>
    <fill>
      <patternFill patternType="solid">
        <fgColor rgb="00F3F3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6AA84F"/>
      </left>
      <right style="thin">
        <color rgb="006AA84F"/>
      </right>
      <top style="thin">
        <color rgb="006AA84F"/>
      </top>
      <bottom style="thin">
        <color rgb="006AA84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4" fillId="2" borderId="0" pivotButton="0" quotePrefix="0" xfId="0"/>
    <xf numFmtId="0" fontId="5" fillId="3" borderId="2" applyAlignment="1" pivotButton="0" quotePrefix="0" xfId="0">
      <alignment horizontal="center"/>
    </xf>
    <xf numFmtId="0" fontId="1" fillId="4" borderId="2" pivotButton="0" quotePrefix="0" xfId="0"/>
    <xf numFmtId="0" fontId="6" fillId="0" borderId="2" applyAlignment="1" pivotButton="0" quotePrefix="0" xfId="0">
      <alignment horizontal="center"/>
    </xf>
    <xf numFmtId="164" fontId="6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départements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'tableau_de_bord'!B10</f>
            </strRef>
          </tx>
          <spPr>
            <a:ln>
              <a:prstDash val="solid"/>
            </a:ln>
          </spPr>
          <cat>
            <numRef>
              <f>'tableau_de_bord'!$A$11:$A$20</f>
            </numRef>
          </cat>
          <val>
            <numRef>
              <f>'tableau_de_bord'!$B$11:$B$20</f>
            </numRef>
          </val>
        </ser>
        <dLbls>
          <showLegendKey val="0"/>
          <showVal val="1"/>
          <showCatName val="1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interventions</a:t>
            </a:r>
          </a:p>
        </rich>
      </tx>
    </title>
    <plotArea>
      <pieChart>
        <varyColors val="1"/>
        <ser>
          <idx val="0"/>
          <order val="0"/>
          <tx>
            <strRef>
              <f>'tableau_de_bord'!E10</f>
            </strRef>
          </tx>
          <spPr>
            <a:ln>
              <a:prstDash val="solid"/>
            </a:ln>
          </spPr>
          <cat>
            <numRef>
              <f>'tableau_de_bord'!$D$11:$D$14</f>
            </numRef>
          </cat>
          <val>
            <numRef>
              <f>'tableau_de_bord'!$E$11:$E$14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24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8" customHeight="1">
      <c r="A1" s="2" t="inlineStr">
        <is>
          <t>Tableau de bord - Interventions des secours en 2023</t>
        </is>
      </c>
    </row>
    <row r="2" ht="28" customHeight="1"/>
    <row r="4" ht="25" customHeight="1">
      <c r="A4" s="3" t="inlineStr">
        <is>
          <t>Zone de filtres</t>
        </is>
      </c>
    </row>
    <row r="5" ht="25" customHeight="1"/>
    <row r="6" ht="25" customHeight="1">
      <c r="B6" s="4" t="inlineStr">
        <is>
          <t>Filtre zone</t>
        </is>
      </c>
      <c r="C6" s="5" t="inlineStr">
        <is>
          <t>Toutes</t>
        </is>
      </c>
      <c r="E6" s="4" t="inlineStr">
        <is>
          <t>Filtre région</t>
        </is>
      </c>
      <c r="F6" s="5" t="inlineStr">
        <is>
          <t>Toutes</t>
        </is>
      </c>
    </row>
    <row r="7" ht="18" customHeight="1"/>
    <row r="8" ht="18" customHeight="1"/>
    <row r="9">
      <c r="A9" s="6" t="inlineStr">
        <is>
          <t>Top 10 départements</t>
        </is>
      </c>
      <c r="D9" s="6" t="inlineStr">
        <is>
          <t>Grandes catégories</t>
        </is>
      </c>
      <c r="J9" s="7" t="inlineStr">
        <is>
          <t>Total interventions</t>
        </is>
      </c>
      <c r="L9" s="7" t="inlineStr">
        <is>
          <t>Nombre de lignes</t>
        </is>
      </c>
    </row>
    <row r="10">
      <c r="A10" s="8" t="inlineStr">
        <is>
          <t>Département</t>
        </is>
      </c>
      <c r="B10" s="8" t="inlineStr">
        <is>
          <t>Interventions</t>
        </is>
      </c>
      <c r="D10" s="8" t="inlineStr">
        <is>
          <t>Catégorie</t>
        </is>
      </c>
      <c r="E10" s="8" t="inlineStr">
        <is>
          <t>Interventions</t>
        </is>
      </c>
      <c r="J10" s="9">
        <f>SUM(E11:E14)</f>
        <v/>
      </c>
      <c r="L10" s="9">
        <f>COUNTIFS(donnees_nettoyees!$B$2:$B$200,IF($C$6="Toutes","*",$C$6),donnees_nettoyees!$C$2:$C$200,IF($F$6="Toutes","*",$F$6))</f>
        <v/>
      </c>
    </row>
    <row r="11">
      <c r="A11">
        <f>INDEX(calcul_dashboard!$A$2:$A$200,MATCH(B11,calcul_dashboard!$C$2:$C$200,0))</f>
        <v/>
      </c>
      <c r="B11">
        <f>LARGE(calcul_dashboard!$C$2:$C$200,1)</f>
        <v/>
      </c>
      <c r="D11" t="inlineStr">
        <is>
          <t>Incendies</t>
        </is>
      </c>
      <c r="E11">
        <f>SUMIFS(donnees_nettoyees!$R$2:$R$200,donnees_nettoyees!$B$2:$B$200,IF($C$6="Toutes","*",$C$6),donnees_nettoyees!$C$2:$C$200,IF($F$6="Toutes","*",$F$6))</f>
        <v/>
      </c>
    </row>
    <row r="12">
      <c r="A12">
        <f>INDEX(calcul_dashboard!$A$2:$A$200,MATCH(B12,calcul_dashboard!$C$2:$C$200,0))</f>
        <v/>
      </c>
      <c r="B12">
        <f>LARGE(calcul_dashboard!$C$2:$C$200,2)</f>
        <v/>
      </c>
      <c r="D12" t="inlineStr">
        <is>
          <t>Secours à personne</t>
        </is>
      </c>
      <c r="E12">
        <f>SUMIFS(donnees_nettoyees!$AM$2:$AM$200,donnees_nettoyees!$B$2:$B$200,IF($C$6="Toutes","*",$C$6),donnees_nettoyees!$C$2:$C$200,IF($F$6="Toutes","*",$F$6))</f>
        <v/>
      </c>
    </row>
    <row r="13">
      <c r="A13">
        <f>INDEX(calcul_dashboard!$A$2:$A$200,MATCH(B13,calcul_dashboard!$C$2:$C$200,0))</f>
        <v/>
      </c>
      <c r="B13">
        <f>LARGE(calcul_dashboard!$C$2:$C$200,3)</f>
        <v/>
      </c>
      <c r="D13" t="inlineStr">
        <is>
          <t>Accidents</t>
        </is>
      </c>
      <c r="E13">
        <f>SUMIFS(donnees_nettoyees!$AS$2:$AS$200,donnees_nettoyees!$B$2:$B$200,IF($C$6="Toutes","*",$C$6),donnees_nettoyees!$C$2:$C$200,IF($F$6="Toutes","*",$F$6))</f>
        <v/>
      </c>
      <c r="J13" s="7" t="inlineStr">
        <is>
          <t>Part secours à personne</t>
        </is>
      </c>
      <c r="L13" s="7" t="inlineStr">
        <is>
          <t>Nombre de catégories</t>
        </is>
      </c>
    </row>
    <row r="14">
      <c r="A14">
        <f>INDEX(calcul_dashboard!$A$2:$A$200,MATCH(B14,calcul_dashboard!$C$2:$C$200,0))</f>
        <v/>
      </c>
      <c r="B14">
        <f>LARGE(calcul_dashboard!$C$2:$C$200,4)</f>
        <v/>
      </c>
      <c r="D14" t="inlineStr">
        <is>
          <t>Opérations diverses</t>
        </is>
      </c>
      <c r="E14">
        <f>SUMIFS(donnees_nettoyees!$BR$2:$BR$200,donnees_nettoyees!$B$2:$B$200,IF($C$6="Toutes","*",$C$6),donnees_nettoyees!$C$2:$C$200,IF($F$6="Toutes","*",$F$6))</f>
        <v/>
      </c>
      <c r="J14" s="10">
        <f>E12/J10</f>
        <v/>
      </c>
      <c r="L14" s="9" t="n">
        <v>4</v>
      </c>
    </row>
    <row r="15">
      <c r="A15">
        <f>INDEX(calcul_dashboard!$A$2:$A$200,MATCH(B15,calcul_dashboard!$C$2:$C$200,0))</f>
        <v/>
      </c>
      <c r="B15">
        <f>LARGE(calcul_dashboard!$C$2:$C$200,5)</f>
        <v/>
      </c>
    </row>
    <row r="16">
      <c r="A16">
        <f>INDEX(calcul_dashboard!$A$2:$A$200,MATCH(B16,calcul_dashboard!$C$2:$C$200,0))</f>
        <v/>
      </c>
      <c r="B16">
        <f>LARGE(calcul_dashboard!$C$2:$C$200,6)</f>
        <v/>
      </c>
    </row>
    <row r="17">
      <c r="A17">
        <f>INDEX(calcul_dashboard!$A$2:$A$200,MATCH(B17,calcul_dashboard!$C$2:$C$200,0))</f>
        <v/>
      </c>
      <c r="B17">
        <f>LARGE(calcul_dashboard!$C$2:$C$200,7)</f>
        <v/>
      </c>
    </row>
    <row r="18">
      <c r="A18">
        <f>INDEX(calcul_dashboard!$A$2:$A$200,MATCH(B18,calcul_dashboard!$C$2:$C$200,0))</f>
        <v/>
      </c>
      <c r="B18">
        <f>LARGE(calcul_dashboard!$C$2:$C$200,8)</f>
        <v/>
      </c>
    </row>
    <row r="19">
      <c r="A19">
        <f>INDEX(calcul_dashboard!$A$2:$A$200,MATCH(B19,calcul_dashboard!$C$2:$C$200,0))</f>
        <v/>
      </c>
      <c r="B19">
        <f>LARGE(calcul_dashboard!$C$2:$C$200,9)</f>
        <v/>
      </c>
    </row>
    <row r="20">
      <c r="A20">
        <f>INDEX(calcul_dashboard!$A$2:$A$200,MATCH(B20,calcul_dashboard!$C$2:$C$200,0))</f>
        <v/>
      </c>
      <c r="B20">
        <f>LARGE(calcul_dashboard!$C$2:$C$200,10)</f>
        <v/>
      </c>
    </row>
    <row r="21" ht="25" customHeight="1"/>
  </sheetData>
  <mergeCells count="2">
    <mergeCell ref="A1:N2"/>
    <mergeCell ref="A4:N5"/>
  </mergeCells>
  <dataValidations count="2">
    <dataValidation sqref="C6" showDropDown="0" showInputMessage="0" showErrorMessage="0" allowBlank="0" type="list">
      <formula1>'listes_filtres'!$A$2:$A$20</formula1>
    </dataValidation>
    <dataValidation sqref="F6" showDropDown="0" showInputMessage="0" showErrorMessage="0" allowBlank="0" type="list">
      <formula1>'listes_filtres'!$B$2:$B$20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ann�e</t>
        </is>
      </c>
      <c r="B1" s="1" t="inlineStr">
        <is>
          <t>zone</t>
        </is>
      </c>
      <c r="C1" s="1" t="inlineStr">
        <is>
          <t>r�gion</t>
        </is>
      </c>
      <c r="D1" s="1" t="inlineStr">
        <is>
          <t>num�ro</t>
        </is>
      </c>
      <c r="E1" s="1" t="inlineStr">
        <is>
          <t>d�partement</t>
        </is>
      </c>
      <c r="F1" s="1" t="inlineStr">
        <is>
          <t>cat�gorie_a</t>
        </is>
      </c>
      <c r="G1" s="1" t="inlineStr">
        <is>
          <t>feux_d'habitations-bureaux</t>
        </is>
      </c>
      <c r="H1" s="1" t="inlineStr">
        <is>
          <t>dont_feux_de_chemin�es</t>
        </is>
      </c>
      <c r="I1" s="1" t="inlineStr">
        <is>
          <t>feux_d'erp_avec_local_�_sommeil</t>
        </is>
      </c>
      <c r="J1" s="1" t="inlineStr">
        <is>
          <t>feux_d'erp_sans_local_�_sommeil</t>
        </is>
      </c>
      <c r="K1" s="1" t="inlineStr">
        <is>
          <t>feux_de_locaux_industriels</t>
        </is>
      </c>
      <c r="L1" s="1" t="inlineStr">
        <is>
          <t>feux_de_locaux_artisanaux</t>
        </is>
      </c>
      <c r="M1" s="1" t="inlineStr">
        <is>
          <t>feux_de_locaux_agricoles</t>
        </is>
      </c>
      <c r="N1" s="1" t="inlineStr">
        <is>
          <t>feux_sur_voie_publique</t>
        </is>
      </c>
      <c r="O1" s="1" t="inlineStr">
        <is>
          <t>feux_de_v�hicules</t>
        </is>
      </c>
      <c r="P1" s="1" t="inlineStr">
        <is>
          <t>feux_de_v�g�tations</t>
        </is>
      </c>
      <c r="Q1" s="1" t="inlineStr">
        <is>
          <t>autres_feux</t>
        </is>
      </c>
      <c r="R1" s="1" t="inlineStr">
        <is>
          <t>incendies</t>
        </is>
      </c>
      <c r="S1" s="1" t="inlineStr">
        <is>
          <t>accidents_sur_lieux_de_travail</t>
        </is>
      </c>
      <c r="T1" s="1" t="inlineStr">
        <is>
          <t>accidents_�_domicile</t>
        </is>
      </c>
      <c r="U1" s="1" t="inlineStr">
        <is>
          <t>accidents_de_sport</t>
        </is>
      </c>
      <c r="V1" s="1" t="inlineStr">
        <is>
          <t>accidents_sur_voie_publique</t>
        </is>
      </c>
      <c r="W1" s="1" t="inlineStr">
        <is>
          <t>secours_en_montagne</t>
        </is>
      </c>
      <c r="X1" s="1" t="inlineStr">
        <is>
          <t>malaises_sur_lieux_de_travail</t>
        </is>
      </c>
      <c r="Y1" s="1" t="inlineStr">
        <is>
          <t>malaises_�_domicile_:_urgence_vitale</t>
        </is>
      </c>
      <c r="Z1" s="1" t="inlineStr">
        <is>
          <t>malaises_�_domicile_:_carence</t>
        </is>
      </c>
      <c r="AA1" s="1" t="inlineStr">
        <is>
          <t>malaises_en_sport</t>
        </is>
      </c>
      <c r="AB1" s="1" t="inlineStr">
        <is>
          <t>malaises_sur_voie_publique</t>
        </is>
      </c>
      <c r="AC1" s="1" t="inlineStr">
        <is>
          <t>autolyses</t>
        </is>
      </c>
      <c r="AD1" s="1" t="inlineStr">
        <is>
          <t>secours_en_piscines_ou_eaux_int�rieures</t>
        </is>
      </c>
      <c r="AE1" s="1" t="inlineStr">
        <is>
          <t>secours_en_mer_(fdsm)</t>
        </is>
      </c>
      <c r="AF1" s="1" t="inlineStr">
        <is>
          <t>intoxications</t>
        </is>
      </c>
      <c r="AG1" s="1" t="inlineStr">
        <is>
          <t>dont_intoxications_au_co</t>
        </is>
      </c>
      <c r="AH1" s="1" t="inlineStr">
        <is>
          <t>autres_sav</t>
        </is>
      </c>
      <c r="AI1" s="1" t="inlineStr">
        <is>
          <t>secours_�_victime</t>
        </is>
      </c>
      <c r="AJ1" s="1" t="inlineStr">
        <is>
          <t>relevage_de_personnes</t>
        </is>
      </c>
      <c r="AK1" s="1" t="inlineStr">
        <is>
          <t>recherche_de_personnes</t>
        </is>
      </c>
      <c r="AL1" s="1" t="inlineStr">
        <is>
          <t>aides_�_personne</t>
        </is>
      </c>
      <c r="AM1" s="1" t="inlineStr">
        <is>
          <t>secours_�_personne</t>
        </is>
      </c>
      <c r="AN1" s="1" t="inlineStr">
        <is>
          <t>accidents_routiers</t>
        </is>
      </c>
      <c r="AO1" s="1" t="inlineStr">
        <is>
          <t>accidents_ferroviaires</t>
        </is>
      </c>
      <c r="AP1" s="1" t="inlineStr">
        <is>
          <t>accidents_a�riens</t>
        </is>
      </c>
      <c r="AQ1" s="1" t="inlineStr">
        <is>
          <t>accidents_de_navigation</t>
        </is>
      </c>
      <c r="AR1" s="1" t="inlineStr">
        <is>
          <t>accidents_de_t�l�portage</t>
        </is>
      </c>
      <c r="AS1" s="1" t="inlineStr">
        <is>
          <t>accidents_de_circulation</t>
        </is>
      </c>
      <c r="AT1" s="1" t="inlineStr">
        <is>
          <t>odeurs_-_fuites_de_gaz</t>
        </is>
      </c>
      <c r="AU1" s="1" t="inlineStr">
        <is>
          <t>odeurs_(autres_que_gaz)</t>
        </is>
      </c>
      <c r="AV1" s="1" t="inlineStr">
        <is>
          <t>fait_dus_�_l'�lectricit�</t>
        </is>
      </c>
      <c r="AW1" s="1" t="inlineStr">
        <is>
          <t>pollutions_-_contaminations</t>
        </is>
      </c>
      <c r="AX1" s="1" t="inlineStr">
        <is>
          <t>autres_risques_technologiques</t>
        </is>
      </c>
      <c r="AY1" s="1" t="inlineStr">
        <is>
          <t>risques_technologiques</t>
        </is>
      </c>
      <c r="AZ1" s="1" t="inlineStr">
        <is>
          <t>fuites_d'eau</t>
        </is>
      </c>
      <c r="BA1" s="1" t="inlineStr">
        <is>
          <t>inondations</t>
        </is>
      </c>
      <c r="BB1" s="1" t="inlineStr">
        <is>
          <t>ouvertures_de_portes</t>
        </is>
      </c>
      <c r="BC1" s="1" t="inlineStr">
        <is>
          <t>recherches_d'objets</t>
        </is>
      </c>
      <c r="BD1" s="1" t="inlineStr">
        <is>
          <t>bruits_suspects</t>
        </is>
      </c>
      <c r="BE1" s="1" t="inlineStr">
        <is>
          <t>protection_des_biens</t>
        </is>
      </c>
      <c r="BF1" s="1" t="inlineStr">
        <is>
          <t>fausses_alertes</t>
        </is>
      </c>
      <c r="BG1" s="1" t="inlineStr">
        <is>
          <t>dont_fausses_alertes_daaf</t>
        </is>
      </c>
      <c r="BH1" s="1" t="inlineStr">
        <is>
          <t>faits_d'animaux_(hors_hym�nopt�res)</t>
        </is>
      </c>
      <c r="BI1" s="1" t="inlineStr">
        <is>
          <t>hym�nopt�res</t>
        </is>
      </c>
      <c r="BJ1" s="1" t="inlineStr">
        <is>
          <t>d�gagements_de_voies_publiques</t>
        </is>
      </c>
      <c r="BK1" s="1" t="inlineStr">
        <is>
          <t>nettoyages_de_voies_publiques</t>
        </is>
      </c>
      <c r="BL1" s="1" t="inlineStr">
        <is>
          <t>�boulements</t>
        </is>
      </c>
      <c r="BM1" s="1" t="inlineStr">
        <is>
          <t>d�poses_d'objets</t>
        </is>
      </c>
      <c r="BN1" s="1" t="inlineStr">
        <is>
          <t>piquets_de_s�curit�_-_surveillances</t>
        </is>
      </c>
      <c r="BO1" s="1" t="inlineStr">
        <is>
          <t>engins_explosifs</t>
        </is>
      </c>
      <c r="BP1" s="1" t="inlineStr">
        <is>
          <t>autres_op�rations_diverses</t>
        </is>
      </c>
      <c r="BQ1" s="1" t="inlineStr">
        <is>
          <t>divers</t>
        </is>
      </c>
      <c r="BR1" s="1" t="inlineStr">
        <is>
          <t>op�rations_diverses</t>
        </is>
      </c>
      <c r="BS1" s="1" t="inlineStr">
        <is>
          <t>total_interventions</t>
        </is>
      </c>
    </row>
    <row r="2">
      <c r="A2" t="n">
        <v>2023</v>
      </c>
      <c r="B2" t="inlineStr">
        <is>
          <t>Sud</t>
        </is>
      </c>
      <c r="C2" t="inlineStr">
        <is>
          <t>Provence-Alpes-C�te d'Azur</t>
        </is>
      </c>
      <c r="D2" t="inlineStr">
        <is>
          <t>BMPM</t>
        </is>
      </c>
      <c r="E2" t="inlineStr">
        <is>
          <t>Bouches-du-Rh�ne</t>
        </is>
      </c>
      <c r="G2" t="n">
        <v>774</v>
      </c>
      <c r="H2" t="n">
        <v>9</v>
      </c>
      <c r="I2" t="n">
        <v>35</v>
      </c>
      <c r="J2" t="n">
        <v>176</v>
      </c>
      <c r="K2" t="n">
        <v>51</v>
      </c>
      <c r="L2" t="n">
        <v>0</v>
      </c>
      <c r="M2" t="n">
        <v>0</v>
      </c>
      <c r="N2" t="n">
        <v>2536</v>
      </c>
      <c r="O2" t="n">
        <v>1326</v>
      </c>
      <c r="P2" t="n">
        <v>488</v>
      </c>
      <c r="Q2" t="n">
        <v>0</v>
      </c>
      <c r="R2" t="n">
        <v>5386</v>
      </c>
      <c r="S2" t="n">
        <v>3091</v>
      </c>
      <c r="T2" t="n">
        <v>8774</v>
      </c>
      <c r="U2" t="n">
        <v>1359</v>
      </c>
      <c r="V2" t="n">
        <v>13074</v>
      </c>
      <c r="W2" t="n">
        <v>132</v>
      </c>
      <c r="X2" t="n">
        <v>2808</v>
      </c>
      <c r="Y2" t="n">
        <v>27748</v>
      </c>
      <c r="Z2" t="n">
        <v>3135</v>
      </c>
      <c r="AA2" t="n">
        <v>244</v>
      </c>
      <c r="AB2" t="n">
        <v>19542</v>
      </c>
      <c r="AC2" t="n">
        <v>1544</v>
      </c>
      <c r="AD2" t="n">
        <v>13</v>
      </c>
      <c r="AE2" t="n">
        <v>68</v>
      </c>
      <c r="AF2" t="n">
        <v>1997</v>
      </c>
      <c r="AG2" t="n">
        <v>12</v>
      </c>
      <c r="AH2" t="n">
        <v>449</v>
      </c>
      <c r="AI2" t="n">
        <v>83978</v>
      </c>
      <c r="AJ2" t="n">
        <v>8291</v>
      </c>
      <c r="AK2" t="n">
        <v>1077</v>
      </c>
      <c r="AL2" t="n">
        <v>9368</v>
      </c>
      <c r="AM2" t="n">
        <v>93346</v>
      </c>
      <c r="AN2" t="n">
        <v>7502</v>
      </c>
      <c r="AO2" t="n">
        <v>18</v>
      </c>
      <c r="AP2" t="n">
        <v>0</v>
      </c>
      <c r="AQ2" t="n">
        <v>81</v>
      </c>
      <c r="AR2" t="n">
        <v>0</v>
      </c>
      <c r="AS2" t="n">
        <v>7601</v>
      </c>
      <c r="AT2" t="n">
        <v>964</v>
      </c>
      <c r="AU2" t="n">
        <v>269</v>
      </c>
      <c r="AV2" t="n">
        <v>525</v>
      </c>
      <c r="AW2" t="n">
        <v>59</v>
      </c>
      <c r="AX2" t="n">
        <v>0</v>
      </c>
      <c r="AY2" t="n">
        <v>1817</v>
      </c>
      <c r="AZ2" t="n">
        <v>1891</v>
      </c>
      <c r="BA2" t="n">
        <v>31</v>
      </c>
      <c r="BB2" t="n">
        <v>45</v>
      </c>
      <c r="BC2" t="n">
        <v>1376</v>
      </c>
      <c r="BD2" t="n">
        <v>468</v>
      </c>
      <c r="BE2" t="n">
        <v>3811</v>
      </c>
      <c r="BF2" t="n">
        <v>4302</v>
      </c>
      <c r="BG2" t="n">
        <v>0</v>
      </c>
      <c r="BH2" t="n">
        <v>486</v>
      </c>
      <c r="BI2" t="n">
        <v>251</v>
      </c>
      <c r="BJ2" t="n">
        <v>577</v>
      </c>
      <c r="BK2" t="n">
        <v>137</v>
      </c>
      <c r="BL2" t="n">
        <v>12</v>
      </c>
      <c r="BM2" t="n">
        <v>0</v>
      </c>
      <c r="BN2" t="n">
        <v>1867</v>
      </c>
      <c r="BO2" t="n">
        <v>0</v>
      </c>
      <c r="BP2" t="n">
        <v>724</v>
      </c>
      <c r="BQ2" t="n">
        <v>8356</v>
      </c>
      <c r="BR2" t="n">
        <v>12167</v>
      </c>
      <c r="BS2" t="n">
        <v>120317</v>
      </c>
    </row>
    <row r="3">
      <c r="A3" t="n">
        <v>2023</v>
      </c>
      <c r="B3" t="inlineStr">
        <is>
          <t>�le-de-France</t>
        </is>
      </c>
      <c r="C3" t="inlineStr">
        <is>
          <t>�le-de-France</t>
        </is>
      </c>
      <c r="D3" t="inlineStr">
        <is>
          <t>BSPP</t>
        </is>
      </c>
      <c r="E3" t="inlineStr">
        <is>
          <t>Paris</t>
        </is>
      </c>
      <c r="G3" t="n">
        <v>3763</v>
      </c>
      <c r="H3" t="n">
        <v>37</v>
      </c>
      <c r="I3" t="n">
        <v>118</v>
      </c>
      <c r="J3" t="n">
        <v>650</v>
      </c>
      <c r="K3" t="n">
        <v>133</v>
      </c>
      <c r="L3" t="n">
        <v>12</v>
      </c>
      <c r="M3" t="n">
        <v>14</v>
      </c>
      <c r="N3" t="n">
        <v>5120</v>
      </c>
      <c r="O3" t="n">
        <v>3384</v>
      </c>
      <c r="P3" t="n">
        <v>382</v>
      </c>
      <c r="Q3" t="n">
        <v>1970</v>
      </c>
      <c r="R3" t="n">
        <v>15546</v>
      </c>
      <c r="S3" t="n">
        <v>6539</v>
      </c>
      <c r="T3" t="n">
        <v>22633</v>
      </c>
      <c r="U3" t="n">
        <v>3326</v>
      </c>
      <c r="V3" t="n">
        <v>29708</v>
      </c>
      <c r="W3" t="n">
        <v>0</v>
      </c>
      <c r="X3" t="n">
        <v>19154</v>
      </c>
      <c r="Y3" t="n">
        <v>18086</v>
      </c>
      <c r="Z3" t="n">
        <v>126930</v>
      </c>
      <c r="AA3" t="n">
        <v>2427</v>
      </c>
      <c r="AB3" t="n">
        <v>83550</v>
      </c>
      <c r="AC3" t="n">
        <v>0</v>
      </c>
      <c r="AD3" t="n">
        <v>375</v>
      </c>
      <c r="AE3" t="n">
        <v>0</v>
      </c>
      <c r="AF3" t="n">
        <v>33059</v>
      </c>
      <c r="AG3" t="n">
        <v>76</v>
      </c>
      <c r="AH3" t="n">
        <v>39353</v>
      </c>
      <c r="AI3" t="n">
        <v>385140</v>
      </c>
      <c r="AJ3" t="n">
        <v>18773</v>
      </c>
      <c r="AK3" t="n">
        <v>26780</v>
      </c>
      <c r="AL3" t="n">
        <v>45553</v>
      </c>
      <c r="AM3" t="n">
        <v>430693</v>
      </c>
      <c r="AN3" t="n">
        <v>25737</v>
      </c>
      <c r="AO3" t="n">
        <v>40</v>
      </c>
      <c r="AP3" t="n">
        <v>4</v>
      </c>
      <c r="AQ3" t="n">
        <v>20</v>
      </c>
      <c r="AR3" t="n">
        <v>0</v>
      </c>
      <c r="AS3" t="n">
        <v>25801</v>
      </c>
      <c r="AT3" t="n">
        <v>2787</v>
      </c>
      <c r="AU3" t="n">
        <v>9</v>
      </c>
      <c r="AV3" t="n">
        <v>934</v>
      </c>
      <c r="AW3" t="n">
        <v>145</v>
      </c>
      <c r="AX3" t="n">
        <v>117</v>
      </c>
      <c r="AY3" t="n">
        <v>3992</v>
      </c>
      <c r="AZ3" t="n">
        <v>498</v>
      </c>
      <c r="BA3" t="n">
        <v>315</v>
      </c>
      <c r="BB3" t="n">
        <v>0</v>
      </c>
      <c r="BC3" t="n">
        <v>18</v>
      </c>
      <c r="BD3" t="n">
        <v>163</v>
      </c>
      <c r="BE3" t="n">
        <v>994</v>
      </c>
      <c r="BF3" t="n">
        <v>1413</v>
      </c>
      <c r="BG3" t="n">
        <v>0</v>
      </c>
      <c r="BH3" t="n">
        <v>1033</v>
      </c>
      <c r="BI3" t="n">
        <v>259</v>
      </c>
      <c r="BJ3" t="n">
        <v>36</v>
      </c>
      <c r="BK3" t="n">
        <v>234</v>
      </c>
      <c r="BL3" t="n">
        <v>41</v>
      </c>
      <c r="BM3" t="n">
        <v>994</v>
      </c>
      <c r="BN3" t="n">
        <v>0</v>
      </c>
      <c r="BO3" t="n">
        <v>17</v>
      </c>
      <c r="BP3" t="n">
        <v>14344</v>
      </c>
      <c r="BQ3" t="n">
        <v>18371</v>
      </c>
      <c r="BR3" t="n">
        <v>19365</v>
      </c>
      <c r="BS3" t="n">
        <v>495397</v>
      </c>
    </row>
    <row r="4">
      <c r="A4" t="n">
        <v>2023</v>
      </c>
      <c r="B4" t="inlineStr">
        <is>
          <t>Sud-est</t>
        </is>
      </c>
      <c r="C4" t="inlineStr">
        <is>
          <t>Auvergne-Rh�ne-Alpes</t>
        </is>
      </c>
      <c r="D4" t="inlineStr">
        <is>
          <t>1</t>
        </is>
      </c>
      <c r="E4" t="inlineStr">
        <is>
          <t>Ain</t>
        </is>
      </c>
      <c r="F4" t="inlineStr">
        <is>
          <t>B</t>
        </is>
      </c>
      <c r="G4" t="n">
        <v>507</v>
      </c>
      <c r="H4" t="n">
        <v>198</v>
      </c>
      <c r="I4" t="n">
        <v>22</v>
      </c>
      <c r="J4" t="n">
        <v>19</v>
      </c>
      <c r="K4" t="n">
        <v>66</v>
      </c>
      <c r="L4" t="n">
        <v>16</v>
      </c>
      <c r="M4" t="n">
        <v>27</v>
      </c>
      <c r="N4" t="n">
        <v>599</v>
      </c>
      <c r="O4" t="n">
        <v>513</v>
      </c>
      <c r="P4" t="n">
        <v>499</v>
      </c>
      <c r="Q4" t="n">
        <v>85</v>
      </c>
      <c r="R4" t="n">
        <v>2353</v>
      </c>
      <c r="S4" t="n">
        <v>1425</v>
      </c>
      <c r="T4" t="n">
        <v>2908</v>
      </c>
      <c r="U4" t="n">
        <v>991</v>
      </c>
      <c r="V4" t="n">
        <v>2779</v>
      </c>
      <c r="W4" t="n">
        <v>82</v>
      </c>
      <c r="X4" t="n">
        <v>0</v>
      </c>
      <c r="Y4" t="n">
        <v>6445</v>
      </c>
      <c r="Z4" t="n">
        <v>5253</v>
      </c>
      <c r="AA4" t="n">
        <v>199</v>
      </c>
      <c r="AB4" t="n">
        <v>6332</v>
      </c>
      <c r="AC4" t="n">
        <v>890</v>
      </c>
      <c r="AD4" t="n">
        <v>38</v>
      </c>
      <c r="AE4" t="n">
        <v>0</v>
      </c>
      <c r="AF4" t="n">
        <v>11</v>
      </c>
      <c r="AG4" t="n">
        <v>8</v>
      </c>
      <c r="AH4" t="n">
        <v>460</v>
      </c>
      <c r="AI4" t="n">
        <v>27813</v>
      </c>
      <c r="AJ4" t="n">
        <v>2706</v>
      </c>
      <c r="AK4" t="n">
        <v>99</v>
      </c>
      <c r="AL4" t="n">
        <v>2805</v>
      </c>
      <c r="AM4" t="n">
        <v>30618</v>
      </c>
      <c r="AN4" t="n">
        <v>2948</v>
      </c>
      <c r="AO4" t="n">
        <v>6</v>
      </c>
      <c r="AP4" t="n">
        <v>2</v>
      </c>
      <c r="AQ4" t="n">
        <v>7</v>
      </c>
      <c r="AR4" t="n">
        <v>0</v>
      </c>
      <c r="AS4" t="n">
        <v>2963</v>
      </c>
      <c r="AT4" t="n">
        <v>238</v>
      </c>
      <c r="AU4" t="n">
        <v>127</v>
      </c>
      <c r="AV4" t="n">
        <v>34</v>
      </c>
      <c r="AW4" t="n">
        <v>26</v>
      </c>
      <c r="AX4" t="n">
        <v>8</v>
      </c>
      <c r="AY4" t="n">
        <v>433</v>
      </c>
      <c r="AZ4" t="n">
        <v>243</v>
      </c>
      <c r="BA4" t="n">
        <v>472</v>
      </c>
      <c r="BB4" t="n">
        <v>134</v>
      </c>
      <c r="BC4" t="n">
        <v>13</v>
      </c>
      <c r="BD4" t="n">
        <v>10</v>
      </c>
      <c r="BE4" t="n">
        <v>872</v>
      </c>
      <c r="BF4" t="n">
        <v>2733</v>
      </c>
      <c r="BG4" t="n">
        <v>59</v>
      </c>
      <c r="BH4" t="n">
        <v>515</v>
      </c>
      <c r="BI4" t="n">
        <v>1573</v>
      </c>
      <c r="BJ4" t="n">
        <v>140</v>
      </c>
      <c r="BK4" t="n">
        <v>16</v>
      </c>
      <c r="BL4" t="n">
        <v>29</v>
      </c>
      <c r="BM4" t="n">
        <v>114</v>
      </c>
      <c r="BN4" t="n">
        <v>3</v>
      </c>
      <c r="BO4" t="n">
        <v>3</v>
      </c>
      <c r="BP4" t="n">
        <v>1026</v>
      </c>
      <c r="BQ4" t="n">
        <v>6152</v>
      </c>
      <c r="BR4" t="n">
        <v>7024</v>
      </c>
      <c r="BS4" t="n">
        <v>43391</v>
      </c>
    </row>
    <row r="5">
      <c r="A5" t="n">
        <v>2023</v>
      </c>
      <c r="B5" t="inlineStr">
        <is>
          <t>Nord</t>
        </is>
      </c>
      <c r="C5" t="inlineStr">
        <is>
          <t>Hauts-de-France</t>
        </is>
      </c>
      <c r="D5" t="inlineStr">
        <is>
          <t>2</t>
        </is>
      </c>
      <c r="E5" t="inlineStr">
        <is>
          <t>Aisne</t>
        </is>
      </c>
      <c r="F5" t="inlineStr">
        <is>
          <t>B</t>
        </is>
      </c>
      <c r="G5" t="n">
        <v>931</v>
      </c>
      <c r="H5" t="n">
        <v>316</v>
      </c>
      <c r="I5" t="n">
        <v>24</v>
      </c>
      <c r="J5" t="n">
        <v>56</v>
      </c>
      <c r="K5" t="n">
        <v>59</v>
      </c>
      <c r="L5" t="n">
        <v>1</v>
      </c>
      <c r="M5" t="n">
        <v>17</v>
      </c>
      <c r="N5" t="n">
        <v>649</v>
      </c>
      <c r="O5" t="n">
        <v>469</v>
      </c>
      <c r="P5" t="n">
        <v>410</v>
      </c>
      <c r="Q5" t="n">
        <v>223</v>
      </c>
      <c r="R5" t="n">
        <v>2839</v>
      </c>
      <c r="S5" t="n">
        <v>257</v>
      </c>
      <c r="T5" t="n">
        <v>1182</v>
      </c>
      <c r="U5" t="n">
        <v>503</v>
      </c>
      <c r="V5" t="n">
        <v>2903</v>
      </c>
      <c r="W5" t="n">
        <v>0</v>
      </c>
      <c r="X5" t="n">
        <v>141</v>
      </c>
      <c r="Y5" t="n">
        <v>8609</v>
      </c>
      <c r="Z5" t="n">
        <v>1708</v>
      </c>
      <c r="AA5" t="n">
        <v>25</v>
      </c>
      <c r="AB5" t="n">
        <v>4536</v>
      </c>
      <c r="AC5" t="n">
        <v>420</v>
      </c>
      <c r="AD5" t="n">
        <v>29</v>
      </c>
      <c r="AE5" t="n">
        <v>0</v>
      </c>
      <c r="AF5" t="n">
        <v>142</v>
      </c>
      <c r="AG5" t="n">
        <v>0</v>
      </c>
      <c r="AH5" t="n">
        <v>1524</v>
      </c>
      <c r="AI5" t="n">
        <v>21979</v>
      </c>
      <c r="AJ5" t="n">
        <v>4187</v>
      </c>
      <c r="AK5" t="n">
        <v>17</v>
      </c>
      <c r="AL5" t="n">
        <v>4204</v>
      </c>
      <c r="AM5" t="n">
        <v>26183</v>
      </c>
      <c r="AN5" t="n">
        <v>2103</v>
      </c>
      <c r="AO5" t="n">
        <v>2</v>
      </c>
      <c r="AP5" t="n">
        <v>3</v>
      </c>
      <c r="AQ5" t="n">
        <v>0</v>
      </c>
      <c r="AR5" t="n">
        <v>0</v>
      </c>
      <c r="AS5" t="n">
        <v>2108</v>
      </c>
      <c r="AT5" t="n">
        <v>289</v>
      </c>
      <c r="AU5" t="n">
        <v>170</v>
      </c>
      <c r="AV5" t="n">
        <v>0</v>
      </c>
      <c r="AW5" t="n">
        <v>28</v>
      </c>
      <c r="AX5" t="n">
        <v>6</v>
      </c>
      <c r="AY5" t="n">
        <v>493</v>
      </c>
      <c r="AZ5" t="n">
        <v>110</v>
      </c>
      <c r="BA5" t="n">
        <v>172</v>
      </c>
      <c r="BB5" t="n">
        <v>1163</v>
      </c>
      <c r="BC5" t="n">
        <v>0</v>
      </c>
      <c r="BD5" t="n">
        <v>0</v>
      </c>
      <c r="BE5" t="n">
        <v>1445</v>
      </c>
      <c r="BF5" t="n">
        <v>0</v>
      </c>
      <c r="BG5" t="n">
        <v>0</v>
      </c>
      <c r="BH5" t="n">
        <v>468</v>
      </c>
      <c r="BI5" t="n">
        <v>1914</v>
      </c>
      <c r="BJ5" t="n">
        <v>92</v>
      </c>
      <c r="BK5" t="n">
        <v>0</v>
      </c>
      <c r="BL5" t="n">
        <v>3</v>
      </c>
      <c r="BM5" t="n">
        <v>198</v>
      </c>
      <c r="BN5" t="n">
        <v>0</v>
      </c>
      <c r="BO5" t="n">
        <v>1</v>
      </c>
      <c r="BP5" t="n">
        <v>346</v>
      </c>
      <c r="BQ5" t="n">
        <v>3022</v>
      </c>
      <c r="BR5" t="n">
        <v>4467</v>
      </c>
      <c r="BS5" t="n">
        <v>36090</v>
      </c>
    </row>
    <row r="6">
      <c r="A6" t="n">
        <v>2023</v>
      </c>
      <c r="B6" t="inlineStr">
        <is>
          <t>Sud-est</t>
        </is>
      </c>
      <c r="C6" t="inlineStr">
        <is>
          <t>Auvergne-Rh�ne-Alpes</t>
        </is>
      </c>
      <c r="D6" t="inlineStr">
        <is>
          <t>3</t>
        </is>
      </c>
      <c r="E6" t="inlineStr">
        <is>
          <t>Allier</t>
        </is>
      </c>
      <c r="F6" t="inlineStr">
        <is>
          <t>C</t>
        </is>
      </c>
      <c r="G6" t="n">
        <v>450</v>
      </c>
      <c r="H6" t="n">
        <v>0</v>
      </c>
      <c r="I6" t="n">
        <v>11</v>
      </c>
      <c r="J6" t="n">
        <v>19</v>
      </c>
      <c r="K6" t="n">
        <v>25</v>
      </c>
      <c r="L6" t="n">
        <v>36</v>
      </c>
      <c r="M6" t="n">
        <v>25</v>
      </c>
      <c r="N6" t="n">
        <v>103</v>
      </c>
      <c r="O6" t="n">
        <v>238</v>
      </c>
      <c r="P6" t="n">
        <v>236</v>
      </c>
      <c r="Q6" t="n">
        <v>501</v>
      </c>
      <c r="R6" t="n">
        <v>1644</v>
      </c>
      <c r="S6" t="n">
        <v>7</v>
      </c>
      <c r="T6" t="n">
        <v>3026</v>
      </c>
      <c r="U6" t="n">
        <v>0</v>
      </c>
      <c r="V6" t="n">
        <v>1883</v>
      </c>
      <c r="W6" t="n">
        <v>0</v>
      </c>
      <c r="X6" t="n">
        <v>68</v>
      </c>
      <c r="Y6" t="n">
        <v>6182</v>
      </c>
      <c r="Z6" t="n">
        <v>3026</v>
      </c>
      <c r="AA6" t="n">
        <v>0</v>
      </c>
      <c r="AB6" t="n">
        <v>3291</v>
      </c>
      <c r="AC6" t="n">
        <v>467</v>
      </c>
      <c r="AD6" t="n">
        <v>7</v>
      </c>
      <c r="AE6" t="n">
        <v>0</v>
      </c>
      <c r="AF6" t="n">
        <v>81</v>
      </c>
      <c r="AG6" t="n">
        <v>0</v>
      </c>
      <c r="AH6" t="n">
        <v>567</v>
      </c>
      <c r="AI6" t="n">
        <v>18605</v>
      </c>
      <c r="AJ6" t="n">
        <v>5509</v>
      </c>
      <c r="AK6" t="n">
        <v>0</v>
      </c>
      <c r="AL6" t="n">
        <v>5509</v>
      </c>
      <c r="AM6" t="n">
        <v>24114</v>
      </c>
      <c r="AN6" t="n">
        <v>1735</v>
      </c>
      <c r="AO6" t="n">
        <v>1</v>
      </c>
      <c r="AP6" t="n">
        <v>0</v>
      </c>
      <c r="AQ6" t="n">
        <v>1</v>
      </c>
      <c r="AR6" t="n">
        <v>0</v>
      </c>
      <c r="AS6" t="n">
        <v>1737</v>
      </c>
      <c r="AT6" t="n">
        <v>170</v>
      </c>
      <c r="AU6" t="n">
        <v>49</v>
      </c>
      <c r="AV6" t="n">
        <v>0</v>
      </c>
      <c r="AW6" t="n">
        <v>10</v>
      </c>
      <c r="AX6" t="n">
        <v>1</v>
      </c>
      <c r="AY6" t="n">
        <v>230</v>
      </c>
      <c r="AZ6" t="n">
        <v>224</v>
      </c>
      <c r="BA6" t="n">
        <v>194</v>
      </c>
      <c r="BB6" t="n">
        <v>31</v>
      </c>
      <c r="BC6" t="n">
        <v>0</v>
      </c>
      <c r="BD6" t="n">
        <v>0</v>
      </c>
      <c r="BE6" t="n">
        <v>449</v>
      </c>
      <c r="BF6" t="n">
        <v>0</v>
      </c>
      <c r="BG6" t="n">
        <v>0</v>
      </c>
      <c r="BH6" t="n">
        <v>179</v>
      </c>
      <c r="BI6" t="n">
        <v>12</v>
      </c>
      <c r="BJ6" t="n">
        <v>184</v>
      </c>
      <c r="BK6" t="n">
        <v>15</v>
      </c>
      <c r="BL6" t="n">
        <v>1</v>
      </c>
      <c r="BM6" t="n">
        <v>142</v>
      </c>
      <c r="BN6" t="n">
        <v>26</v>
      </c>
      <c r="BO6" t="n">
        <v>0</v>
      </c>
      <c r="BP6" t="n">
        <v>805</v>
      </c>
      <c r="BQ6" t="n">
        <v>1364</v>
      </c>
      <c r="BR6" t="n">
        <v>1813</v>
      </c>
      <c r="BS6" t="n">
        <v>29538</v>
      </c>
    </row>
    <row r="7">
      <c r="A7" t="n">
        <v>2023</v>
      </c>
      <c r="B7" t="inlineStr">
        <is>
          <t>Sud</t>
        </is>
      </c>
      <c r="C7" t="inlineStr">
        <is>
          <t>Provence-Alpes-C�te d'Azur</t>
        </is>
      </c>
      <c r="D7" t="inlineStr">
        <is>
          <t>4</t>
        </is>
      </c>
      <c r="E7" t="inlineStr">
        <is>
          <t>Alpes-de-Haute-Provence</t>
        </is>
      </c>
      <c r="F7" t="inlineStr">
        <is>
          <t>C</t>
        </is>
      </c>
      <c r="G7" t="n">
        <v>288</v>
      </c>
      <c r="H7" t="n">
        <v>120</v>
      </c>
      <c r="I7" t="n">
        <v>15</v>
      </c>
      <c r="J7" t="n">
        <v>27</v>
      </c>
      <c r="K7" t="n">
        <v>16</v>
      </c>
      <c r="L7" t="n">
        <v>0</v>
      </c>
      <c r="M7" t="n">
        <v>6</v>
      </c>
      <c r="N7" t="n">
        <v>168</v>
      </c>
      <c r="O7" t="n">
        <v>114</v>
      </c>
      <c r="P7" t="n">
        <v>353</v>
      </c>
      <c r="Q7" t="n">
        <v>57</v>
      </c>
      <c r="R7" t="n">
        <v>1044</v>
      </c>
      <c r="S7" t="n">
        <v>161</v>
      </c>
      <c r="T7" t="n">
        <v>1170</v>
      </c>
      <c r="U7" t="n">
        <v>315</v>
      </c>
      <c r="V7" t="n">
        <v>1035</v>
      </c>
      <c r="W7" t="n">
        <v>105</v>
      </c>
      <c r="X7" t="n">
        <v>102</v>
      </c>
      <c r="Y7" t="n">
        <v>2099</v>
      </c>
      <c r="Z7" t="n">
        <v>1301</v>
      </c>
      <c r="AA7" t="n">
        <v>0</v>
      </c>
      <c r="AB7" t="n">
        <v>1299</v>
      </c>
      <c r="AC7" t="n">
        <v>351</v>
      </c>
      <c r="AD7" t="n">
        <v>10</v>
      </c>
      <c r="AE7" t="n">
        <v>0</v>
      </c>
      <c r="AF7" t="n">
        <v>73</v>
      </c>
      <c r="AG7" t="n">
        <v>12</v>
      </c>
      <c r="AH7" t="n">
        <v>437</v>
      </c>
      <c r="AI7" t="n">
        <v>8458</v>
      </c>
      <c r="AJ7" t="n">
        <v>911</v>
      </c>
      <c r="AK7" t="n">
        <v>0</v>
      </c>
      <c r="AL7" t="n">
        <v>911</v>
      </c>
      <c r="AM7" t="n">
        <v>9369</v>
      </c>
      <c r="AN7" t="n">
        <v>1007</v>
      </c>
      <c r="AO7" t="n">
        <v>0</v>
      </c>
      <c r="AP7" t="n">
        <v>35</v>
      </c>
      <c r="AQ7" t="n">
        <v>0</v>
      </c>
      <c r="AR7" t="n">
        <v>1</v>
      </c>
      <c r="AS7" t="n">
        <v>1043</v>
      </c>
      <c r="AT7" t="n">
        <v>39</v>
      </c>
      <c r="AU7" t="n">
        <v>71</v>
      </c>
      <c r="AV7" t="n">
        <v>0</v>
      </c>
      <c r="AW7" t="n">
        <v>10</v>
      </c>
      <c r="AX7" t="n">
        <v>3</v>
      </c>
      <c r="AY7" t="n">
        <v>123</v>
      </c>
      <c r="AZ7" t="n">
        <v>215</v>
      </c>
      <c r="BA7" t="n">
        <v>11</v>
      </c>
      <c r="BB7" t="n">
        <v>30</v>
      </c>
      <c r="BC7" t="n">
        <v>13</v>
      </c>
      <c r="BD7" t="n">
        <v>0</v>
      </c>
      <c r="BE7" t="n">
        <v>269</v>
      </c>
      <c r="BF7" t="n">
        <v>18</v>
      </c>
      <c r="BG7" t="n">
        <v>18</v>
      </c>
      <c r="BH7" t="n">
        <v>250</v>
      </c>
      <c r="BI7" t="n">
        <v>69</v>
      </c>
      <c r="BJ7" t="n">
        <v>96</v>
      </c>
      <c r="BK7" t="n">
        <v>6</v>
      </c>
      <c r="BL7" t="n">
        <v>5</v>
      </c>
      <c r="BM7" t="n">
        <v>0</v>
      </c>
      <c r="BN7" t="n">
        <v>6</v>
      </c>
      <c r="BO7" t="n">
        <v>35</v>
      </c>
      <c r="BP7" t="n">
        <v>249</v>
      </c>
      <c r="BQ7" t="n">
        <v>734</v>
      </c>
      <c r="BR7" t="n">
        <v>1003</v>
      </c>
      <c r="BS7" t="n">
        <v>12582</v>
      </c>
    </row>
    <row r="8">
      <c r="A8" t="n">
        <v>2023</v>
      </c>
      <c r="B8" t="inlineStr">
        <is>
          <t>Sud</t>
        </is>
      </c>
      <c r="C8" t="inlineStr">
        <is>
          <t>Provence-Alpes-C�te d'Azur</t>
        </is>
      </c>
      <c r="D8" t="inlineStr">
        <is>
          <t>5</t>
        </is>
      </c>
      <c r="E8" t="inlineStr">
        <is>
          <t>Hautes-Alpes</t>
        </is>
      </c>
      <c r="F8" t="inlineStr">
        <is>
          <t>C</t>
        </is>
      </c>
      <c r="G8" t="n">
        <v>280</v>
      </c>
      <c r="H8" t="n">
        <v>116</v>
      </c>
      <c r="I8" t="n">
        <v>0</v>
      </c>
      <c r="J8" t="n">
        <v>21</v>
      </c>
      <c r="K8" t="n">
        <v>4</v>
      </c>
      <c r="L8" t="n">
        <v>0</v>
      </c>
      <c r="M8" t="n">
        <v>9</v>
      </c>
      <c r="N8" t="n">
        <v>137</v>
      </c>
      <c r="O8" t="n">
        <v>64</v>
      </c>
      <c r="P8" t="n">
        <v>187</v>
      </c>
      <c r="Q8" t="n">
        <v>24</v>
      </c>
      <c r="R8" t="n">
        <v>726</v>
      </c>
      <c r="S8" t="n">
        <v>237</v>
      </c>
      <c r="T8" t="n">
        <v>280</v>
      </c>
      <c r="U8" t="n">
        <v>465</v>
      </c>
      <c r="V8" t="n">
        <v>1469</v>
      </c>
      <c r="W8" t="n">
        <v>100</v>
      </c>
      <c r="X8" t="n">
        <v>172</v>
      </c>
      <c r="Y8" t="n">
        <v>2063</v>
      </c>
      <c r="Z8" t="n">
        <v>314</v>
      </c>
      <c r="AA8" t="n">
        <v>0</v>
      </c>
      <c r="AB8" t="n">
        <v>1577</v>
      </c>
      <c r="AC8" t="n">
        <v>237</v>
      </c>
      <c r="AD8" t="n">
        <v>5</v>
      </c>
      <c r="AE8" t="n">
        <v>0</v>
      </c>
      <c r="AF8" t="n">
        <v>10</v>
      </c>
      <c r="AG8" t="n">
        <v>7</v>
      </c>
      <c r="AH8" t="n">
        <v>99</v>
      </c>
      <c r="AI8" t="n">
        <v>7028</v>
      </c>
      <c r="AJ8" t="n">
        <v>1022</v>
      </c>
      <c r="AK8" t="n">
        <v>9</v>
      </c>
      <c r="AL8" t="n">
        <v>1031</v>
      </c>
      <c r="AM8" t="n">
        <v>8059</v>
      </c>
      <c r="AN8" t="n">
        <v>794</v>
      </c>
      <c r="AO8" t="n">
        <v>0</v>
      </c>
      <c r="AP8" t="n">
        <v>3</v>
      </c>
      <c r="AQ8" t="n">
        <v>15</v>
      </c>
      <c r="AR8" t="n">
        <v>0</v>
      </c>
      <c r="AS8" t="n">
        <v>812</v>
      </c>
      <c r="AT8" t="n">
        <v>67</v>
      </c>
      <c r="AU8" t="n">
        <v>50</v>
      </c>
      <c r="AV8" t="n">
        <v>12</v>
      </c>
      <c r="AW8" t="n">
        <v>11</v>
      </c>
      <c r="AX8" t="n">
        <v>0</v>
      </c>
      <c r="AY8" t="n">
        <v>140</v>
      </c>
      <c r="AZ8" t="n">
        <v>61</v>
      </c>
      <c r="BA8" t="n">
        <v>219</v>
      </c>
      <c r="BB8" t="n">
        <v>174</v>
      </c>
      <c r="BC8" t="n">
        <v>0</v>
      </c>
      <c r="BD8" t="n">
        <v>0</v>
      </c>
      <c r="BE8" t="n">
        <v>454</v>
      </c>
      <c r="BF8" t="n">
        <v>0</v>
      </c>
      <c r="BG8" t="n">
        <v>0</v>
      </c>
      <c r="BH8" t="n">
        <v>279</v>
      </c>
      <c r="BI8" t="n">
        <v>64</v>
      </c>
      <c r="BJ8" t="n">
        <v>68</v>
      </c>
      <c r="BK8" t="n">
        <v>1</v>
      </c>
      <c r="BL8" t="n">
        <v>4</v>
      </c>
      <c r="BM8" t="n">
        <v>0</v>
      </c>
      <c r="BN8" t="n">
        <v>196</v>
      </c>
      <c r="BO8" t="n">
        <v>0</v>
      </c>
      <c r="BP8" t="n">
        <v>14</v>
      </c>
      <c r="BQ8" t="n">
        <v>626</v>
      </c>
      <c r="BR8" t="n">
        <v>1080</v>
      </c>
      <c r="BS8" t="n">
        <v>10817</v>
      </c>
    </row>
    <row r="9">
      <c r="A9" t="n">
        <v>2023</v>
      </c>
      <c r="B9" t="inlineStr">
        <is>
          <t>Sud</t>
        </is>
      </c>
      <c r="C9" t="inlineStr">
        <is>
          <t>Provence-Alpes-C�te d'Azur</t>
        </is>
      </c>
      <c r="D9" t="inlineStr">
        <is>
          <t>6</t>
        </is>
      </c>
      <c r="E9" t="inlineStr">
        <is>
          <t>Alpes-Maritimes</t>
        </is>
      </c>
      <c r="F9" t="inlineStr">
        <is>
          <t>A</t>
        </is>
      </c>
      <c r="G9" t="n">
        <v>645</v>
      </c>
      <c r="H9" t="n">
        <v>86</v>
      </c>
      <c r="I9" t="n">
        <v>14</v>
      </c>
      <c r="J9" t="n">
        <v>80</v>
      </c>
      <c r="K9" t="n">
        <v>25</v>
      </c>
      <c r="L9" t="n">
        <v>73</v>
      </c>
      <c r="M9" t="n">
        <v>7</v>
      </c>
      <c r="N9" t="n">
        <v>725</v>
      </c>
      <c r="O9" t="n">
        <v>546</v>
      </c>
      <c r="P9" t="n">
        <v>887</v>
      </c>
      <c r="Q9" t="n">
        <v>252</v>
      </c>
      <c r="R9" t="n">
        <v>3254</v>
      </c>
      <c r="S9" t="n">
        <v>2002</v>
      </c>
      <c r="T9" t="n">
        <v>10208</v>
      </c>
      <c r="U9" t="n">
        <v>79</v>
      </c>
      <c r="V9" t="n">
        <v>13458</v>
      </c>
      <c r="W9" t="n">
        <v>2</v>
      </c>
      <c r="X9" t="n">
        <v>1455</v>
      </c>
      <c r="Y9" t="n">
        <v>82</v>
      </c>
      <c r="Z9" t="n">
        <v>26054</v>
      </c>
      <c r="AA9" t="n">
        <v>0</v>
      </c>
      <c r="AB9" t="n">
        <v>16186</v>
      </c>
      <c r="AC9" t="n">
        <v>2648</v>
      </c>
      <c r="AD9" t="n">
        <v>31</v>
      </c>
      <c r="AE9" t="n">
        <v>122</v>
      </c>
      <c r="AF9" t="n">
        <v>69</v>
      </c>
      <c r="AG9" t="n">
        <v>58</v>
      </c>
      <c r="AH9" t="n">
        <v>732</v>
      </c>
      <c r="AI9" t="n">
        <v>73128</v>
      </c>
      <c r="AJ9" t="n">
        <v>4819</v>
      </c>
      <c r="AK9" t="n">
        <v>147</v>
      </c>
      <c r="AL9" t="n">
        <v>4966</v>
      </c>
      <c r="AM9" t="n">
        <v>78094</v>
      </c>
      <c r="AN9" t="n">
        <v>7330</v>
      </c>
      <c r="AO9" t="n">
        <v>16</v>
      </c>
      <c r="AP9" t="n">
        <v>124</v>
      </c>
      <c r="AQ9" t="n">
        <v>18</v>
      </c>
      <c r="AR9" t="n">
        <v>9</v>
      </c>
      <c r="AS9" t="n">
        <v>7497</v>
      </c>
      <c r="AT9" t="n">
        <v>712</v>
      </c>
      <c r="AU9" t="n">
        <v>637</v>
      </c>
      <c r="AV9" t="n">
        <v>0</v>
      </c>
      <c r="AW9" t="n">
        <v>7</v>
      </c>
      <c r="AX9" t="n">
        <v>61</v>
      </c>
      <c r="AY9" t="n">
        <v>1417</v>
      </c>
      <c r="AZ9" t="n">
        <v>0</v>
      </c>
      <c r="BA9" t="n">
        <v>1214</v>
      </c>
      <c r="BB9" t="n">
        <v>1328</v>
      </c>
      <c r="BC9" t="n">
        <v>603</v>
      </c>
      <c r="BD9" t="n">
        <v>5403</v>
      </c>
      <c r="BE9" t="n">
        <v>8548</v>
      </c>
      <c r="BF9" t="n">
        <v>229</v>
      </c>
      <c r="BG9" t="n">
        <v>0</v>
      </c>
      <c r="BH9" t="n">
        <v>863</v>
      </c>
      <c r="BI9" t="n">
        <v>212</v>
      </c>
      <c r="BJ9" t="n">
        <v>404</v>
      </c>
      <c r="BK9" t="n">
        <v>187</v>
      </c>
      <c r="BL9" t="n">
        <v>84</v>
      </c>
      <c r="BM9" t="n">
        <v>189</v>
      </c>
      <c r="BN9" t="n">
        <v>7</v>
      </c>
      <c r="BO9" t="n">
        <v>6</v>
      </c>
      <c r="BP9" t="n">
        <v>1629</v>
      </c>
      <c r="BQ9" t="n">
        <v>3810</v>
      </c>
      <c r="BR9" t="n">
        <v>12358</v>
      </c>
      <c r="BS9" t="n">
        <v>102620</v>
      </c>
    </row>
    <row r="10">
      <c r="A10" t="n">
        <v>2023</v>
      </c>
      <c r="B10" t="inlineStr">
        <is>
          <t>Sud-est</t>
        </is>
      </c>
      <c r="C10" t="inlineStr">
        <is>
          <t>Auvergne-Rh�ne-Alpes</t>
        </is>
      </c>
      <c r="D10" t="inlineStr">
        <is>
          <t>7</t>
        </is>
      </c>
      <c r="E10" t="inlineStr">
        <is>
          <t>Ard�che</t>
        </is>
      </c>
      <c r="F10" t="inlineStr">
        <is>
          <t>C</t>
        </is>
      </c>
      <c r="G10" t="n">
        <v>186</v>
      </c>
      <c r="H10" t="n">
        <v>157</v>
      </c>
      <c r="I10" t="n">
        <v>4</v>
      </c>
      <c r="J10" t="n">
        <v>14</v>
      </c>
      <c r="K10" t="n">
        <v>42</v>
      </c>
      <c r="L10" t="n">
        <v>6</v>
      </c>
      <c r="M10" t="n">
        <v>6</v>
      </c>
      <c r="N10" t="n">
        <v>276</v>
      </c>
      <c r="O10" t="n">
        <v>182</v>
      </c>
      <c r="P10" t="n">
        <v>533</v>
      </c>
      <c r="Q10" t="n">
        <v>90</v>
      </c>
      <c r="R10" t="n">
        <v>1339</v>
      </c>
      <c r="S10" t="n">
        <v>17</v>
      </c>
      <c r="T10" t="n">
        <v>11710</v>
      </c>
      <c r="U10" t="n">
        <v>0</v>
      </c>
      <c r="V10" t="n">
        <v>234</v>
      </c>
      <c r="W10" t="n">
        <v>0</v>
      </c>
      <c r="X10" t="n">
        <v>0</v>
      </c>
      <c r="Y10" t="n">
        <v>3939</v>
      </c>
      <c r="Z10" t="n">
        <v>2713</v>
      </c>
      <c r="AA10" t="n">
        <v>0</v>
      </c>
      <c r="AB10" t="n">
        <v>4824</v>
      </c>
      <c r="AC10" t="n">
        <v>971</v>
      </c>
      <c r="AD10" t="n">
        <v>39</v>
      </c>
      <c r="AE10" t="n">
        <v>0</v>
      </c>
      <c r="AF10" t="n">
        <v>17</v>
      </c>
      <c r="AG10" t="n">
        <v>17</v>
      </c>
      <c r="AH10" t="n">
        <v>0</v>
      </c>
      <c r="AI10" t="n">
        <v>24464</v>
      </c>
      <c r="AJ10" t="n">
        <v>2138</v>
      </c>
      <c r="AK10" t="n">
        <v>18</v>
      </c>
      <c r="AL10" t="n">
        <v>2156</v>
      </c>
      <c r="AM10" t="n">
        <v>26620</v>
      </c>
      <c r="AN10" t="n">
        <v>1799</v>
      </c>
      <c r="AO10" t="n">
        <v>0</v>
      </c>
      <c r="AP10" t="n">
        <v>0</v>
      </c>
      <c r="AQ10" t="n">
        <v>0</v>
      </c>
      <c r="AR10" t="n">
        <v>0</v>
      </c>
      <c r="AS10" t="n">
        <v>1799</v>
      </c>
      <c r="AT10" t="n">
        <v>209</v>
      </c>
      <c r="AU10" t="n">
        <v>20</v>
      </c>
      <c r="AV10" t="n">
        <v>99</v>
      </c>
      <c r="AW10" t="n">
        <v>23</v>
      </c>
      <c r="AX10" t="n">
        <v>0</v>
      </c>
      <c r="AY10" t="n">
        <v>351</v>
      </c>
      <c r="AZ10" t="n">
        <v>390</v>
      </c>
      <c r="BA10" t="n">
        <v>0</v>
      </c>
      <c r="BB10" t="n">
        <v>56</v>
      </c>
      <c r="BC10" t="n">
        <v>0</v>
      </c>
      <c r="BD10" t="n">
        <v>0</v>
      </c>
      <c r="BE10" t="n">
        <v>446</v>
      </c>
      <c r="BF10" t="n">
        <v>176</v>
      </c>
      <c r="BG10" t="n">
        <v>88</v>
      </c>
      <c r="BH10" t="n">
        <v>293</v>
      </c>
      <c r="BI10" t="n">
        <v>50</v>
      </c>
      <c r="BJ10" t="n">
        <v>100</v>
      </c>
      <c r="BK10" t="n">
        <v>8</v>
      </c>
      <c r="BL10" t="n">
        <v>14</v>
      </c>
      <c r="BM10" t="n">
        <v>0</v>
      </c>
      <c r="BN10" t="n">
        <v>0</v>
      </c>
      <c r="BO10" t="n">
        <v>2</v>
      </c>
      <c r="BP10" t="n">
        <v>220</v>
      </c>
      <c r="BQ10" t="n">
        <v>863</v>
      </c>
      <c r="BR10" t="n">
        <v>1309</v>
      </c>
      <c r="BS10" t="n">
        <v>31418</v>
      </c>
    </row>
    <row r="11">
      <c r="A11" t="n">
        <v>2023</v>
      </c>
      <c r="B11" t="inlineStr">
        <is>
          <t>Est</t>
        </is>
      </c>
      <c r="C11" t="inlineStr">
        <is>
          <t>Grand Est</t>
        </is>
      </c>
      <c r="D11" t="inlineStr">
        <is>
          <t>8</t>
        </is>
      </c>
      <c r="E11" t="inlineStr">
        <is>
          <t>Ardennes</t>
        </is>
      </c>
      <c r="F11" t="inlineStr">
        <is>
          <t>C</t>
        </is>
      </c>
      <c r="G11" t="n">
        <v>446</v>
      </c>
      <c r="H11" t="n">
        <v>235</v>
      </c>
      <c r="I11" t="n">
        <v>9</v>
      </c>
      <c r="J11" t="n">
        <v>13</v>
      </c>
      <c r="K11" t="n">
        <v>19</v>
      </c>
      <c r="L11" t="n">
        <v>6</v>
      </c>
      <c r="M11" t="n">
        <v>47</v>
      </c>
      <c r="N11" t="n">
        <v>422</v>
      </c>
      <c r="O11" t="n">
        <v>127</v>
      </c>
      <c r="P11" t="n">
        <v>225</v>
      </c>
      <c r="Q11" t="n">
        <v>102</v>
      </c>
      <c r="R11" t="n">
        <v>1416</v>
      </c>
      <c r="S11" t="n">
        <v>313</v>
      </c>
      <c r="T11" t="n">
        <v>3501</v>
      </c>
      <c r="U11" t="n">
        <v>367</v>
      </c>
      <c r="V11" t="n">
        <v>1729</v>
      </c>
      <c r="W11" t="n">
        <v>0</v>
      </c>
      <c r="X11" t="n">
        <v>211</v>
      </c>
      <c r="Y11" t="n">
        <v>4058</v>
      </c>
      <c r="Z11" t="n">
        <v>728</v>
      </c>
      <c r="AA11" t="n">
        <v>41</v>
      </c>
      <c r="AB11" t="n">
        <v>2715</v>
      </c>
      <c r="AC11" t="n">
        <v>325</v>
      </c>
      <c r="AD11" t="n">
        <v>18</v>
      </c>
      <c r="AE11" t="n">
        <v>0</v>
      </c>
      <c r="AF11" t="n">
        <v>25</v>
      </c>
      <c r="AG11" t="n">
        <v>16</v>
      </c>
      <c r="AH11" t="n">
        <v>28</v>
      </c>
      <c r="AI11" t="n">
        <v>14059</v>
      </c>
      <c r="AJ11" t="n">
        <v>41</v>
      </c>
      <c r="AK11" t="n">
        <v>3</v>
      </c>
      <c r="AL11" t="n">
        <v>44</v>
      </c>
      <c r="AM11" t="n">
        <v>14103</v>
      </c>
      <c r="AN11" t="n">
        <v>952</v>
      </c>
      <c r="AO11" t="n">
        <v>1</v>
      </c>
      <c r="AP11" t="n">
        <v>1</v>
      </c>
      <c r="AQ11" t="n">
        <v>0</v>
      </c>
      <c r="AR11" t="n">
        <v>0</v>
      </c>
      <c r="AS11" t="n">
        <v>954</v>
      </c>
      <c r="AT11" t="n">
        <v>94</v>
      </c>
      <c r="AU11" t="n">
        <v>107</v>
      </c>
      <c r="AV11" t="n">
        <v>51</v>
      </c>
      <c r="AW11" t="n">
        <v>19</v>
      </c>
      <c r="AX11" t="n">
        <v>43</v>
      </c>
      <c r="AY11" t="n">
        <v>314</v>
      </c>
      <c r="AZ11" t="n">
        <v>212</v>
      </c>
      <c r="BA11" t="n">
        <v>62</v>
      </c>
      <c r="BB11" t="n">
        <v>36</v>
      </c>
      <c r="BC11" t="n">
        <v>0</v>
      </c>
      <c r="BD11" t="n">
        <v>1</v>
      </c>
      <c r="BE11" t="n">
        <v>311</v>
      </c>
      <c r="BF11" t="n">
        <v>427</v>
      </c>
      <c r="BG11" t="n">
        <v>59</v>
      </c>
      <c r="BH11" t="n">
        <v>149</v>
      </c>
      <c r="BI11" t="n">
        <v>191</v>
      </c>
      <c r="BJ11" t="n">
        <v>17</v>
      </c>
      <c r="BK11" t="n">
        <v>0</v>
      </c>
      <c r="BL11" t="n">
        <v>6</v>
      </c>
      <c r="BM11" t="n">
        <v>22</v>
      </c>
      <c r="BN11" t="n">
        <v>16</v>
      </c>
      <c r="BO11" t="n">
        <v>1</v>
      </c>
      <c r="BP11" t="n">
        <v>256</v>
      </c>
      <c r="BQ11" t="n">
        <v>1085</v>
      </c>
      <c r="BR11" t="n">
        <v>1396</v>
      </c>
      <c r="BS11" t="n">
        <v>18183</v>
      </c>
    </row>
    <row r="12">
      <c r="A12" t="n">
        <v>2023</v>
      </c>
      <c r="B12" t="inlineStr">
        <is>
          <t>Sud</t>
        </is>
      </c>
      <c r="C12" t="inlineStr">
        <is>
          <t>Occitanie</t>
        </is>
      </c>
      <c r="D12" t="inlineStr">
        <is>
          <t>9</t>
        </is>
      </c>
      <c r="E12" t="inlineStr">
        <is>
          <t>Ari�ge</t>
        </is>
      </c>
      <c r="F12" t="inlineStr">
        <is>
          <t>C</t>
        </is>
      </c>
      <c r="G12" t="n">
        <v>223</v>
      </c>
      <c r="H12" t="n">
        <v>131</v>
      </c>
      <c r="I12" t="n">
        <v>1</v>
      </c>
      <c r="J12" t="n">
        <v>6</v>
      </c>
      <c r="K12" t="n">
        <v>10</v>
      </c>
      <c r="L12" t="n">
        <v>0</v>
      </c>
      <c r="M12" t="n">
        <v>11</v>
      </c>
      <c r="N12" t="n">
        <v>66</v>
      </c>
      <c r="O12" t="n">
        <v>108</v>
      </c>
      <c r="P12" t="n">
        <v>236</v>
      </c>
      <c r="Q12" t="n">
        <v>198</v>
      </c>
      <c r="R12" t="n">
        <v>859</v>
      </c>
      <c r="S12" t="n">
        <v>150</v>
      </c>
      <c r="T12" t="n">
        <v>774</v>
      </c>
      <c r="U12" t="n">
        <v>194</v>
      </c>
      <c r="V12" t="n">
        <v>952</v>
      </c>
      <c r="W12" t="n">
        <v>25</v>
      </c>
      <c r="X12" t="n">
        <v>102</v>
      </c>
      <c r="Y12" t="n">
        <v>1063</v>
      </c>
      <c r="Z12" t="n">
        <v>1267</v>
      </c>
      <c r="AA12" t="n">
        <v>9</v>
      </c>
      <c r="AB12" t="n">
        <v>1118</v>
      </c>
      <c r="AC12" t="n">
        <v>83</v>
      </c>
      <c r="AD12" t="n">
        <v>6</v>
      </c>
      <c r="AE12" t="n">
        <v>0</v>
      </c>
      <c r="AF12" t="n">
        <v>119</v>
      </c>
      <c r="AG12" t="n">
        <v>5</v>
      </c>
      <c r="AH12" t="n">
        <v>623</v>
      </c>
      <c r="AI12" t="n">
        <v>6485</v>
      </c>
      <c r="AJ12" t="n">
        <v>1386</v>
      </c>
      <c r="AK12" t="n">
        <v>2</v>
      </c>
      <c r="AL12" t="n">
        <v>1388</v>
      </c>
      <c r="AM12" t="n">
        <v>7873</v>
      </c>
      <c r="AN12" t="n">
        <v>723</v>
      </c>
      <c r="AO12" t="n">
        <v>2</v>
      </c>
      <c r="AP12" t="n">
        <v>1</v>
      </c>
      <c r="AQ12" t="n">
        <v>0</v>
      </c>
      <c r="AR12" t="n">
        <v>0</v>
      </c>
      <c r="AS12" t="n">
        <v>726</v>
      </c>
      <c r="AT12" t="n">
        <v>50</v>
      </c>
      <c r="AU12" t="n">
        <v>0</v>
      </c>
      <c r="AV12" t="n">
        <v>45</v>
      </c>
      <c r="AW12" t="n">
        <v>11</v>
      </c>
      <c r="AX12" t="n">
        <v>6</v>
      </c>
      <c r="AY12" t="n">
        <v>112</v>
      </c>
      <c r="AZ12" t="n">
        <v>85</v>
      </c>
      <c r="BA12" t="n">
        <v>57</v>
      </c>
      <c r="BB12" t="n">
        <v>21</v>
      </c>
      <c r="BC12" t="n">
        <v>0</v>
      </c>
      <c r="BD12" t="n">
        <v>0</v>
      </c>
      <c r="BE12" t="n">
        <v>163</v>
      </c>
      <c r="BF12" t="n">
        <v>0</v>
      </c>
      <c r="BG12" t="n">
        <v>0</v>
      </c>
      <c r="BH12" t="n">
        <v>123</v>
      </c>
      <c r="BI12" t="n">
        <v>91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182</v>
      </c>
      <c r="BQ12" t="n">
        <v>396</v>
      </c>
      <c r="BR12" t="n">
        <v>559</v>
      </c>
      <c r="BS12" t="n">
        <v>10129</v>
      </c>
    </row>
    <row r="13">
      <c r="A13" t="n">
        <v>2023</v>
      </c>
      <c r="B13" t="inlineStr">
        <is>
          <t>Est</t>
        </is>
      </c>
      <c r="C13" t="inlineStr">
        <is>
          <t>Grand Est</t>
        </is>
      </c>
      <c r="D13" t="inlineStr">
        <is>
          <t>10</t>
        </is>
      </c>
      <c r="E13" t="inlineStr">
        <is>
          <t>Aube</t>
        </is>
      </c>
      <c r="F13" t="inlineStr">
        <is>
          <t>C</t>
        </is>
      </c>
      <c r="G13" t="n">
        <v>463</v>
      </c>
      <c r="H13" t="n">
        <v>175</v>
      </c>
      <c r="I13" t="n">
        <v>9</v>
      </c>
      <c r="J13" t="n">
        <v>14</v>
      </c>
      <c r="K13" t="n">
        <v>19</v>
      </c>
      <c r="L13" t="n">
        <v>0</v>
      </c>
      <c r="M13" t="n">
        <v>15</v>
      </c>
      <c r="N13" t="n">
        <v>172</v>
      </c>
      <c r="O13" t="n">
        <v>256</v>
      </c>
      <c r="P13" t="n">
        <v>383</v>
      </c>
      <c r="Q13" t="n">
        <v>359</v>
      </c>
      <c r="R13" t="n">
        <v>1690</v>
      </c>
      <c r="S13" t="n">
        <v>0</v>
      </c>
      <c r="T13" t="n">
        <v>0</v>
      </c>
      <c r="U13" t="n">
        <v>0</v>
      </c>
      <c r="V13" t="n">
        <v>1437</v>
      </c>
      <c r="W13" t="n">
        <v>0</v>
      </c>
      <c r="X13" t="n">
        <v>0</v>
      </c>
      <c r="Y13" t="n">
        <v>562</v>
      </c>
      <c r="Z13" t="n">
        <v>670</v>
      </c>
      <c r="AA13" t="n">
        <v>0</v>
      </c>
      <c r="AB13" t="n">
        <v>1526</v>
      </c>
      <c r="AC13" t="n">
        <v>507</v>
      </c>
      <c r="AD13" t="n">
        <v>12</v>
      </c>
      <c r="AE13" t="n">
        <v>0</v>
      </c>
      <c r="AF13" t="n">
        <v>59</v>
      </c>
      <c r="AG13" t="n">
        <v>18</v>
      </c>
      <c r="AH13" t="n">
        <v>7533</v>
      </c>
      <c r="AI13" t="n">
        <v>12306</v>
      </c>
      <c r="AJ13" t="n">
        <v>0</v>
      </c>
      <c r="AK13" t="n">
        <v>0</v>
      </c>
      <c r="AL13" t="n">
        <v>0</v>
      </c>
      <c r="AM13" t="n">
        <v>12306</v>
      </c>
      <c r="AN13" t="n">
        <v>1305</v>
      </c>
      <c r="AO13" t="n">
        <v>2</v>
      </c>
      <c r="AP13" t="n">
        <v>3</v>
      </c>
      <c r="AQ13" t="n">
        <v>1</v>
      </c>
      <c r="AR13" t="n">
        <v>0</v>
      </c>
      <c r="AS13" t="n">
        <v>1311</v>
      </c>
      <c r="AT13" t="n">
        <v>162</v>
      </c>
      <c r="AU13" t="n">
        <v>80</v>
      </c>
      <c r="AV13" t="n">
        <v>119</v>
      </c>
      <c r="AW13" t="n">
        <v>15</v>
      </c>
      <c r="AX13" t="n">
        <v>3</v>
      </c>
      <c r="AY13" t="n">
        <v>379</v>
      </c>
      <c r="AZ13" t="n">
        <v>552</v>
      </c>
      <c r="BA13" t="n">
        <v>0</v>
      </c>
      <c r="BB13" t="n">
        <v>167</v>
      </c>
      <c r="BC13" t="n">
        <v>0</v>
      </c>
      <c r="BD13" t="n">
        <v>0</v>
      </c>
      <c r="BE13" t="n">
        <v>719</v>
      </c>
      <c r="BF13" t="n">
        <v>0</v>
      </c>
      <c r="BG13" t="n">
        <v>0</v>
      </c>
      <c r="BH13" t="n">
        <v>86</v>
      </c>
      <c r="BI13" t="n">
        <v>268</v>
      </c>
      <c r="BJ13" t="n">
        <v>0</v>
      </c>
      <c r="BK13" t="n">
        <v>0</v>
      </c>
      <c r="BL13" t="n">
        <v>8</v>
      </c>
      <c r="BM13" t="n">
        <v>55</v>
      </c>
      <c r="BN13" t="n">
        <v>36</v>
      </c>
      <c r="BO13" t="n">
        <v>0</v>
      </c>
      <c r="BP13" t="n">
        <v>186</v>
      </c>
      <c r="BQ13" t="n">
        <v>639</v>
      </c>
      <c r="BR13" t="n">
        <v>1358</v>
      </c>
      <c r="BS13" t="n">
        <v>17044</v>
      </c>
    </row>
    <row r="14">
      <c r="A14" t="n">
        <v>2023</v>
      </c>
      <c r="B14" t="inlineStr">
        <is>
          <t>Sud</t>
        </is>
      </c>
      <c r="C14" t="inlineStr">
        <is>
          <t>Occitanie</t>
        </is>
      </c>
      <c r="D14" t="inlineStr">
        <is>
          <t>11</t>
        </is>
      </c>
      <c r="E14" t="inlineStr">
        <is>
          <t>Aude</t>
        </is>
      </c>
      <c r="F14" t="inlineStr">
        <is>
          <t>B</t>
        </is>
      </c>
      <c r="G14" t="n">
        <v>349</v>
      </c>
      <c r="H14" t="n">
        <v>122</v>
      </c>
      <c r="I14" t="n">
        <v>3</v>
      </c>
      <c r="J14" t="n">
        <v>25</v>
      </c>
      <c r="K14" t="n">
        <v>14</v>
      </c>
      <c r="L14" t="n">
        <v>7</v>
      </c>
      <c r="M14" t="n">
        <v>9</v>
      </c>
      <c r="N14" t="n">
        <v>255</v>
      </c>
      <c r="O14" t="n">
        <v>381</v>
      </c>
      <c r="P14" t="n">
        <v>1184</v>
      </c>
      <c r="Q14" t="n">
        <v>27</v>
      </c>
      <c r="R14" t="n">
        <v>2254</v>
      </c>
      <c r="S14" t="n">
        <v>359</v>
      </c>
      <c r="T14" t="n">
        <v>4673</v>
      </c>
      <c r="U14" t="n">
        <v>0</v>
      </c>
      <c r="V14" t="n">
        <v>3156</v>
      </c>
      <c r="W14" t="n">
        <v>27</v>
      </c>
      <c r="X14" t="n">
        <v>169</v>
      </c>
      <c r="Y14" t="n">
        <v>6244</v>
      </c>
      <c r="Z14" t="n">
        <v>0</v>
      </c>
      <c r="AA14" t="n">
        <v>0</v>
      </c>
      <c r="AB14" t="n">
        <v>2805</v>
      </c>
      <c r="AC14" t="n">
        <v>659</v>
      </c>
      <c r="AD14" t="n">
        <v>24</v>
      </c>
      <c r="AE14" t="n">
        <v>46</v>
      </c>
      <c r="AF14" t="n">
        <v>72</v>
      </c>
      <c r="AG14" t="n">
        <v>8</v>
      </c>
      <c r="AH14" t="n">
        <v>715</v>
      </c>
      <c r="AI14" t="n">
        <v>18949</v>
      </c>
      <c r="AJ14" t="n">
        <v>1007</v>
      </c>
      <c r="AK14" t="n">
        <v>17</v>
      </c>
      <c r="AL14" t="n">
        <v>1024</v>
      </c>
      <c r="AM14" t="n">
        <v>19973</v>
      </c>
      <c r="AN14" t="n">
        <v>2144</v>
      </c>
      <c r="AO14" t="n">
        <v>4</v>
      </c>
      <c r="AP14" t="n">
        <v>5</v>
      </c>
      <c r="AQ14" t="n">
        <v>45</v>
      </c>
      <c r="AR14" t="n">
        <v>0</v>
      </c>
      <c r="AS14" t="n">
        <v>2198</v>
      </c>
      <c r="AT14" t="n">
        <v>126</v>
      </c>
      <c r="AU14" t="n">
        <v>221</v>
      </c>
      <c r="AV14" t="n">
        <v>115</v>
      </c>
      <c r="AW14" t="n">
        <v>6</v>
      </c>
      <c r="AX14" t="n">
        <v>0</v>
      </c>
      <c r="AY14" t="n">
        <v>468</v>
      </c>
      <c r="AZ14" t="n">
        <v>245</v>
      </c>
      <c r="BA14" t="n">
        <v>24</v>
      </c>
      <c r="BB14" t="n">
        <v>80</v>
      </c>
      <c r="BC14" t="n">
        <v>73</v>
      </c>
      <c r="BD14" t="n">
        <v>0</v>
      </c>
      <c r="BE14" t="n">
        <v>422</v>
      </c>
      <c r="BF14" t="n">
        <v>1175</v>
      </c>
      <c r="BG14" t="n">
        <v>82</v>
      </c>
      <c r="BH14" t="n">
        <v>355</v>
      </c>
      <c r="BI14" t="n">
        <v>109</v>
      </c>
      <c r="BJ14" t="n">
        <v>31</v>
      </c>
      <c r="BK14" t="n">
        <v>0</v>
      </c>
      <c r="BL14" t="n">
        <v>6</v>
      </c>
      <c r="BM14" t="n">
        <v>0</v>
      </c>
      <c r="BN14" t="n">
        <v>284</v>
      </c>
      <c r="BO14" t="n">
        <v>4</v>
      </c>
      <c r="BP14" t="n">
        <v>235</v>
      </c>
      <c r="BQ14" t="n">
        <v>2199</v>
      </c>
      <c r="BR14" t="n">
        <v>2621</v>
      </c>
      <c r="BS14" t="n">
        <v>27514</v>
      </c>
    </row>
    <row r="15">
      <c r="A15" t="n">
        <v>2023</v>
      </c>
      <c r="B15" t="inlineStr">
        <is>
          <t>Sud</t>
        </is>
      </c>
      <c r="C15" t="inlineStr">
        <is>
          <t>Occitanie</t>
        </is>
      </c>
      <c r="D15" t="inlineStr">
        <is>
          <t>12</t>
        </is>
      </c>
      <c r="E15" t="inlineStr">
        <is>
          <t>Aveyron</t>
        </is>
      </c>
      <c r="F15" t="inlineStr">
        <is>
          <t>C</t>
        </is>
      </c>
      <c r="G15" t="n">
        <v>292</v>
      </c>
      <c r="H15" t="n">
        <v>172</v>
      </c>
      <c r="I15" t="n">
        <v>14</v>
      </c>
      <c r="J15" t="n">
        <v>7</v>
      </c>
      <c r="K15" t="n">
        <v>13</v>
      </c>
      <c r="L15" t="n">
        <v>10</v>
      </c>
      <c r="M15" t="n">
        <v>27</v>
      </c>
      <c r="N15" t="n">
        <v>66</v>
      </c>
      <c r="O15" t="n">
        <v>117</v>
      </c>
      <c r="P15" t="n">
        <v>260</v>
      </c>
      <c r="Q15" t="n">
        <v>278</v>
      </c>
      <c r="R15" t="n">
        <v>1084</v>
      </c>
      <c r="S15" t="n">
        <v>248</v>
      </c>
      <c r="T15" t="n">
        <v>1120</v>
      </c>
      <c r="U15" t="n">
        <v>325</v>
      </c>
      <c r="V15" t="n">
        <v>931</v>
      </c>
      <c r="W15" t="n">
        <v>3</v>
      </c>
      <c r="X15" t="n">
        <v>250</v>
      </c>
      <c r="Y15" t="n">
        <v>2781</v>
      </c>
      <c r="Z15" t="n">
        <v>1454</v>
      </c>
      <c r="AA15" t="n">
        <v>71</v>
      </c>
      <c r="AB15" t="n">
        <v>1445</v>
      </c>
      <c r="AC15" t="n">
        <v>141</v>
      </c>
      <c r="AD15" t="n">
        <v>6</v>
      </c>
      <c r="AE15" t="n">
        <v>0</v>
      </c>
      <c r="AF15" t="n">
        <v>103</v>
      </c>
      <c r="AG15" t="n">
        <v>13</v>
      </c>
      <c r="AH15" t="n">
        <v>2427</v>
      </c>
      <c r="AI15" t="n">
        <v>11305</v>
      </c>
      <c r="AJ15" t="n">
        <v>361</v>
      </c>
      <c r="AK15" t="n">
        <v>46</v>
      </c>
      <c r="AL15" t="n">
        <v>407</v>
      </c>
      <c r="AM15" t="n">
        <v>11712</v>
      </c>
      <c r="AN15" t="n">
        <v>1119</v>
      </c>
      <c r="AO15" t="n">
        <v>0</v>
      </c>
      <c r="AP15" t="n">
        <v>0</v>
      </c>
      <c r="AQ15" t="n">
        <v>2</v>
      </c>
      <c r="AR15" t="n">
        <v>0</v>
      </c>
      <c r="AS15" t="n">
        <v>1121</v>
      </c>
      <c r="AT15" t="n">
        <v>85</v>
      </c>
      <c r="AU15" t="n">
        <v>56</v>
      </c>
      <c r="AV15" t="n">
        <v>11</v>
      </c>
      <c r="AW15" t="n">
        <v>14</v>
      </c>
      <c r="AX15" t="n">
        <v>6</v>
      </c>
      <c r="AY15" t="n">
        <v>172</v>
      </c>
      <c r="AZ15" t="n">
        <v>61</v>
      </c>
      <c r="BA15" t="n">
        <v>68</v>
      </c>
      <c r="BB15" t="n">
        <v>78</v>
      </c>
      <c r="BC15" t="n">
        <v>12</v>
      </c>
      <c r="BD15" t="n">
        <v>6</v>
      </c>
      <c r="BE15" t="n">
        <v>225</v>
      </c>
      <c r="BF15" t="n">
        <v>36</v>
      </c>
      <c r="BG15" t="n">
        <v>20</v>
      </c>
      <c r="BH15" t="n">
        <v>215</v>
      </c>
      <c r="BI15" t="n">
        <v>154</v>
      </c>
      <c r="BJ15" t="n">
        <v>3</v>
      </c>
      <c r="BK15" t="n">
        <v>0</v>
      </c>
      <c r="BL15" t="n">
        <v>9</v>
      </c>
      <c r="BM15" t="n">
        <v>7</v>
      </c>
      <c r="BN15" t="n">
        <v>0</v>
      </c>
      <c r="BO15" t="n">
        <v>1</v>
      </c>
      <c r="BP15" t="n">
        <v>252</v>
      </c>
      <c r="BQ15" t="n">
        <v>677</v>
      </c>
      <c r="BR15" t="n">
        <v>902</v>
      </c>
      <c r="BS15" t="n">
        <v>14991</v>
      </c>
    </row>
    <row r="16">
      <c r="A16" t="n">
        <v>2023</v>
      </c>
      <c r="B16" t="inlineStr">
        <is>
          <t>Sud</t>
        </is>
      </c>
      <c r="C16" t="inlineStr">
        <is>
          <t>Provence-Alpes-C�te d'Azur</t>
        </is>
      </c>
      <c r="D16" t="inlineStr">
        <is>
          <t>13</t>
        </is>
      </c>
      <c r="E16" t="inlineStr">
        <is>
          <t>Bouches-du-Rh�ne</t>
        </is>
      </c>
      <c r="F16" t="inlineStr">
        <is>
          <t>A</t>
        </is>
      </c>
      <c r="G16" t="n">
        <v>866</v>
      </c>
      <c r="H16" t="n">
        <v>184</v>
      </c>
      <c r="I16" t="n">
        <v>48</v>
      </c>
      <c r="J16" t="n">
        <v>167</v>
      </c>
      <c r="K16" t="n">
        <v>118</v>
      </c>
      <c r="L16" t="n">
        <v>148</v>
      </c>
      <c r="M16" t="n">
        <v>4</v>
      </c>
      <c r="N16" t="n">
        <v>1427</v>
      </c>
      <c r="O16" t="n">
        <v>1075</v>
      </c>
      <c r="P16" t="n">
        <v>1917</v>
      </c>
      <c r="Q16" t="n">
        <v>2</v>
      </c>
      <c r="R16" t="n">
        <v>5772</v>
      </c>
      <c r="S16" t="n">
        <v>3683</v>
      </c>
      <c r="T16" t="n">
        <v>25509</v>
      </c>
      <c r="U16" t="n">
        <v>3089</v>
      </c>
      <c r="V16" t="n">
        <v>12523</v>
      </c>
      <c r="W16" t="n">
        <v>169</v>
      </c>
      <c r="X16" t="n">
        <v>2363</v>
      </c>
      <c r="Y16" t="n">
        <v>44761</v>
      </c>
      <c r="Z16" t="n">
        <v>12016</v>
      </c>
      <c r="AA16" t="n">
        <v>0</v>
      </c>
      <c r="AB16" t="n">
        <v>17611</v>
      </c>
      <c r="AC16" t="n">
        <v>94</v>
      </c>
      <c r="AD16" t="n">
        <v>37</v>
      </c>
      <c r="AE16" t="n">
        <v>31</v>
      </c>
      <c r="AF16" t="n">
        <v>1603</v>
      </c>
      <c r="AG16" t="n">
        <v>39</v>
      </c>
      <c r="AH16" t="n">
        <v>0</v>
      </c>
      <c r="AI16" t="n">
        <v>123489</v>
      </c>
      <c r="AJ16" t="n">
        <v>1913</v>
      </c>
      <c r="AK16" t="n">
        <v>96</v>
      </c>
      <c r="AL16" t="n">
        <v>2009</v>
      </c>
      <c r="AM16" t="n">
        <v>125498</v>
      </c>
      <c r="AN16" t="n">
        <v>8184</v>
      </c>
      <c r="AO16" t="n">
        <v>6</v>
      </c>
      <c r="AP16" t="n">
        <v>15</v>
      </c>
      <c r="AQ16" t="n">
        <v>11</v>
      </c>
      <c r="AR16" t="n">
        <v>0</v>
      </c>
      <c r="AS16" t="n">
        <v>8216</v>
      </c>
      <c r="AT16" t="n">
        <v>363</v>
      </c>
      <c r="AU16" t="n">
        <v>435</v>
      </c>
      <c r="AV16" t="n">
        <v>22</v>
      </c>
      <c r="AW16" t="n">
        <v>129</v>
      </c>
      <c r="AX16" t="n">
        <v>0</v>
      </c>
      <c r="AY16" t="n">
        <v>949</v>
      </c>
      <c r="AZ16" t="n">
        <v>1062</v>
      </c>
      <c r="BA16" t="n">
        <v>129</v>
      </c>
      <c r="BB16" t="n">
        <v>619</v>
      </c>
      <c r="BC16" t="n">
        <v>0</v>
      </c>
      <c r="BD16" t="n">
        <v>7</v>
      </c>
      <c r="BE16" t="n">
        <v>1817</v>
      </c>
      <c r="BF16" t="n">
        <v>4722</v>
      </c>
      <c r="BG16" t="n">
        <v>0</v>
      </c>
      <c r="BH16" t="n">
        <v>1808</v>
      </c>
      <c r="BI16" t="n">
        <v>368</v>
      </c>
      <c r="BJ16" t="n">
        <v>443</v>
      </c>
      <c r="BK16" t="n">
        <v>0</v>
      </c>
      <c r="BL16" t="n">
        <v>67</v>
      </c>
      <c r="BM16" t="n">
        <v>409</v>
      </c>
      <c r="BN16" t="n">
        <v>266</v>
      </c>
      <c r="BO16" t="n">
        <v>27</v>
      </c>
      <c r="BP16" t="n">
        <v>1154</v>
      </c>
      <c r="BQ16" t="n">
        <v>9264</v>
      </c>
      <c r="BR16" t="n">
        <v>11081</v>
      </c>
      <c r="BS16" t="n">
        <v>151516</v>
      </c>
    </row>
    <row r="17">
      <c r="A17" t="n">
        <v>2023</v>
      </c>
      <c r="B17" t="inlineStr">
        <is>
          <t>Ouest</t>
        </is>
      </c>
      <c r="C17" t="inlineStr">
        <is>
          <t>Normandie</t>
        </is>
      </c>
      <c r="D17" t="inlineStr">
        <is>
          <t>14</t>
        </is>
      </c>
      <c r="E17" t="inlineStr">
        <is>
          <t>Calvados</t>
        </is>
      </c>
      <c r="F17" t="inlineStr">
        <is>
          <t>B</t>
        </is>
      </c>
      <c r="G17" t="n">
        <v>1189</v>
      </c>
      <c r="H17" t="n">
        <v>345</v>
      </c>
      <c r="I17" t="n">
        <v>10</v>
      </c>
      <c r="J17" t="n">
        <v>48</v>
      </c>
      <c r="K17" t="n">
        <v>17</v>
      </c>
      <c r="L17" t="n">
        <v>27</v>
      </c>
      <c r="M17" t="n">
        <v>47</v>
      </c>
      <c r="N17" t="n">
        <v>364</v>
      </c>
      <c r="O17" t="n">
        <v>455</v>
      </c>
      <c r="P17" t="n">
        <v>320</v>
      </c>
      <c r="Q17" t="n">
        <v>369</v>
      </c>
      <c r="R17" t="n">
        <v>2846</v>
      </c>
      <c r="S17" t="n">
        <v>165</v>
      </c>
      <c r="T17" t="n">
        <v>1147</v>
      </c>
      <c r="U17" t="n">
        <v>38</v>
      </c>
      <c r="V17" t="n">
        <v>5314</v>
      </c>
      <c r="W17" t="n">
        <v>0</v>
      </c>
      <c r="X17" t="n">
        <v>314</v>
      </c>
      <c r="Y17" t="n">
        <v>7959</v>
      </c>
      <c r="Z17" t="n">
        <v>3617</v>
      </c>
      <c r="AA17" t="n">
        <v>24</v>
      </c>
      <c r="AB17" t="n">
        <v>7532</v>
      </c>
      <c r="AC17" t="n">
        <v>333</v>
      </c>
      <c r="AD17" t="n">
        <v>29</v>
      </c>
      <c r="AE17" t="n">
        <v>70</v>
      </c>
      <c r="AF17" t="n">
        <v>202</v>
      </c>
      <c r="AG17" t="n">
        <v>39</v>
      </c>
      <c r="AH17" t="n">
        <v>2908</v>
      </c>
      <c r="AI17" t="n">
        <v>29652</v>
      </c>
      <c r="AJ17" t="n">
        <v>3311</v>
      </c>
      <c r="AK17" t="n">
        <v>0</v>
      </c>
      <c r="AL17" t="n">
        <v>3311</v>
      </c>
      <c r="AM17" t="n">
        <v>32963</v>
      </c>
      <c r="AN17" t="n">
        <v>3213</v>
      </c>
      <c r="AO17" t="n">
        <v>7</v>
      </c>
      <c r="AP17" t="n">
        <v>3</v>
      </c>
      <c r="AQ17" t="n">
        <v>7</v>
      </c>
      <c r="AR17" t="n">
        <v>0</v>
      </c>
      <c r="AS17" t="n">
        <v>3230</v>
      </c>
      <c r="AT17" t="n">
        <v>346</v>
      </c>
      <c r="AU17" t="n">
        <v>161</v>
      </c>
      <c r="AV17" t="n">
        <v>191</v>
      </c>
      <c r="AW17" t="n">
        <v>39</v>
      </c>
      <c r="AX17" t="n">
        <v>2</v>
      </c>
      <c r="AY17" t="n">
        <v>739</v>
      </c>
      <c r="AZ17" t="n">
        <v>605</v>
      </c>
      <c r="BA17" t="n">
        <v>366</v>
      </c>
      <c r="BB17" t="n">
        <v>271</v>
      </c>
      <c r="BC17" t="n">
        <v>0</v>
      </c>
      <c r="BD17" t="n">
        <v>0</v>
      </c>
      <c r="BE17" t="n">
        <v>1242</v>
      </c>
      <c r="BF17" t="n">
        <v>0</v>
      </c>
      <c r="BG17" t="n">
        <v>0</v>
      </c>
      <c r="BH17" t="n">
        <v>274</v>
      </c>
      <c r="BI17" t="n">
        <v>0</v>
      </c>
      <c r="BJ17" t="n">
        <v>9</v>
      </c>
      <c r="BK17" t="n">
        <v>0</v>
      </c>
      <c r="BL17" t="n">
        <v>7</v>
      </c>
      <c r="BM17" t="n">
        <v>165</v>
      </c>
      <c r="BN17" t="n">
        <v>43</v>
      </c>
      <c r="BO17" t="n">
        <v>9</v>
      </c>
      <c r="BP17" t="n">
        <v>118</v>
      </c>
      <c r="BQ17" t="n">
        <v>625</v>
      </c>
      <c r="BR17" t="n">
        <v>1867</v>
      </c>
      <c r="BS17" t="n">
        <v>41645</v>
      </c>
    </row>
    <row r="18">
      <c r="A18" t="n">
        <v>2023</v>
      </c>
      <c r="B18" t="inlineStr">
        <is>
          <t>Sud-est</t>
        </is>
      </c>
      <c r="C18" t="inlineStr">
        <is>
          <t>Auvergne-Rh�ne-Alpes</t>
        </is>
      </c>
      <c r="D18" t="inlineStr">
        <is>
          <t>15</t>
        </is>
      </c>
      <c r="E18" t="inlineStr">
        <is>
          <t>Cantal</t>
        </is>
      </c>
      <c r="F18" t="inlineStr">
        <is>
          <t>C</t>
        </is>
      </c>
      <c r="G18" t="n">
        <v>230</v>
      </c>
      <c r="H18" t="n">
        <v>152</v>
      </c>
      <c r="I18" t="n">
        <v>4</v>
      </c>
      <c r="J18" t="n">
        <v>6</v>
      </c>
      <c r="K18" t="n">
        <v>3</v>
      </c>
      <c r="L18" t="n">
        <v>5</v>
      </c>
      <c r="M18" t="n">
        <v>19</v>
      </c>
      <c r="N18" t="n">
        <v>63</v>
      </c>
      <c r="O18" t="n">
        <v>76</v>
      </c>
      <c r="P18" t="n">
        <v>176</v>
      </c>
      <c r="Q18" t="n">
        <v>29</v>
      </c>
      <c r="R18" t="n">
        <v>611</v>
      </c>
      <c r="S18" t="n">
        <v>217</v>
      </c>
      <c r="T18" t="n">
        <v>1385</v>
      </c>
      <c r="U18" t="n">
        <v>274</v>
      </c>
      <c r="V18" t="n">
        <v>868</v>
      </c>
      <c r="W18" t="n">
        <v>1</v>
      </c>
      <c r="X18" t="n">
        <v>181</v>
      </c>
      <c r="Y18" t="n">
        <v>2341</v>
      </c>
      <c r="Z18" t="n">
        <v>716</v>
      </c>
      <c r="AA18" t="n">
        <v>12</v>
      </c>
      <c r="AB18" t="n">
        <v>1126</v>
      </c>
      <c r="AC18" t="n">
        <v>165</v>
      </c>
      <c r="AD18" t="n">
        <v>5</v>
      </c>
      <c r="AE18" t="n">
        <v>0</v>
      </c>
      <c r="AF18" t="n">
        <v>21</v>
      </c>
      <c r="AG18" t="n">
        <v>6</v>
      </c>
      <c r="AH18" t="n">
        <v>209</v>
      </c>
      <c r="AI18" t="n">
        <v>7521</v>
      </c>
      <c r="AJ18" t="n">
        <v>706</v>
      </c>
      <c r="AK18" t="n">
        <v>2</v>
      </c>
      <c r="AL18" t="n">
        <v>708</v>
      </c>
      <c r="AM18" t="n">
        <v>8229</v>
      </c>
      <c r="AN18" t="n">
        <v>552</v>
      </c>
      <c r="AO18" t="n">
        <v>0</v>
      </c>
      <c r="AP18" t="n">
        <v>1</v>
      </c>
      <c r="AQ18" t="n">
        <v>0</v>
      </c>
      <c r="AR18" t="n">
        <v>0</v>
      </c>
      <c r="AS18" t="n">
        <v>553</v>
      </c>
      <c r="AT18" t="n">
        <v>82</v>
      </c>
      <c r="AU18" t="n">
        <v>34</v>
      </c>
      <c r="AV18" t="n">
        <v>25</v>
      </c>
      <c r="AW18" t="n">
        <v>4</v>
      </c>
      <c r="AX18" t="n">
        <v>4</v>
      </c>
      <c r="AY18" t="n">
        <v>149</v>
      </c>
      <c r="AZ18" t="n">
        <v>29</v>
      </c>
      <c r="BA18" t="n">
        <v>112</v>
      </c>
      <c r="BB18" t="n">
        <v>0</v>
      </c>
      <c r="BC18" t="n">
        <v>1</v>
      </c>
      <c r="BD18" t="n">
        <v>0</v>
      </c>
      <c r="BE18" t="n">
        <v>142</v>
      </c>
      <c r="BF18" t="n">
        <v>53</v>
      </c>
      <c r="BG18" t="n">
        <v>0</v>
      </c>
      <c r="BH18" t="n">
        <v>76</v>
      </c>
      <c r="BI18" t="n">
        <v>65</v>
      </c>
      <c r="BJ18" t="n">
        <v>0</v>
      </c>
      <c r="BK18" t="n">
        <v>0</v>
      </c>
      <c r="BL18" t="n">
        <v>0</v>
      </c>
      <c r="BM18" t="n">
        <v>17</v>
      </c>
      <c r="BN18" t="n">
        <v>2</v>
      </c>
      <c r="BO18" t="n">
        <v>2</v>
      </c>
      <c r="BP18" t="n">
        <v>241</v>
      </c>
      <c r="BQ18" t="n">
        <v>456</v>
      </c>
      <c r="BR18" t="n">
        <v>598</v>
      </c>
      <c r="BS18" t="n">
        <v>10140</v>
      </c>
    </row>
    <row r="19">
      <c r="A19" t="n">
        <v>2023</v>
      </c>
      <c r="B19" t="inlineStr">
        <is>
          <t>Sud-ouest</t>
        </is>
      </c>
      <c r="C19" t="inlineStr">
        <is>
          <t>Nouvelle-Aquitaine</t>
        </is>
      </c>
      <c r="D19" t="inlineStr">
        <is>
          <t>16</t>
        </is>
      </c>
      <c r="E19" t="inlineStr">
        <is>
          <t>Charente</t>
        </is>
      </c>
      <c r="F19" t="inlineStr">
        <is>
          <t>C</t>
        </is>
      </c>
      <c r="G19" t="n">
        <v>408</v>
      </c>
      <c r="H19" t="n">
        <v>195</v>
      </c>
      <c r="I19" t="n">
        <v>12</v>
      </c>
      <c r="J19" t="n">
        <v>24</v>
      </c>
      <c r="K19" t="n">
        <v>50</v>
      </c>
      <c r="L19" t="n">
        <v>0</v>
      </c>
      <c r="M19" t="n">
        <v>24</v>
      </c>
      <c r="N19" t="n">
        <v>124</v>
      </c>
      <c r="O19" t="n">
        <v>294</v>
      </c>
      <c r="P19" t="n">
        <v>233</v>
      </c>
      <c r="Q19" t="n">
        <v>354</v>
      </c>
      <c r="R19" t="n">
        <v>1523</v>
      </c>
      <c r="S19" t="n">
        <v>226</v>
      </c>
      <c r="T19" t="n">
        <v>270</v>
      </c>
      <c r="U19" t="n">
        <v>400</v>
      </c>
      <c r="V19" t="n">
        <v>1441</v>
      </c>
      <c r="W19" t="n">
        <v>0</v>
      </c>
      <c r="X19" t="n">
        <v>77</v>
      </c>
      <c r="Y19" t="n">
        <v>3290</v>
      </c>
      <c r="Z19" t="n">
        <v>551</v>
      </c>
      <c r="AA19" t="n">
        <v>0</v>
      </c>
      <c r="AB19" t="n">
        <v>1302</v>
      </c>
      <c r="AC19" t="n">
        <v>0</v>
      </c>
      <c r="AD19" t="n">
        <v>15</v>
      </c>
      <c r="AE19" t="n">
        <v>0</v>
      </c>
      <c r="AF19" t="n">
        <v>21</v>
      </c>
      <c r="AG19" t="n">
        <v>21</v>
      </c>
      <c r="AH19" t="n">
        <v>3610</v>
      </c>
      <c r="AI19" t="n">
        <v>11203</v>
      </c>
      <c r="AJ19" t="n">
        <v>6</v>
      </c>
      <c r="AK19" t="n">
        <v>5</v>
      </c>
      <c r="AL19" t="n">
        <v>11</v>
      </c>
      <c r="AM19" t="n">
        <v>11214</v>
      </c>
      <c r="AN19" t="n">
        <v>1305</v>
      </c>
      <c r="AO19" t="n">
        <v>1</v>
      </c>
      <c r="AP19" t="n">
        <v>0</v>
      </c>
      <c r="AQ19" t="n">
        <v>2</v>
      </c>
      <c r="AR19" t="n">
        <v>0</v>
      </c>
      <c r="AS19" t="n">
        <v>1308</v>
      </c>
      <c r="AT19" t="n">
        <v>150</v>
      </c>
      <c r="AU19" t="n">
        <v>51</v>
      </c>
      <c r="AV19" t="n">
        <v>0</v>
      </c>
      <c r="AW19" t="n">
        <v>33</v>
      </c>
      <c r="AX19" t="n">
        <v>0</v>
      </c>
      <c r="AY19" t="n">
        <v>234</v>
      </c>
      <c r="AZ19" t="n">
        <v>261</v>
      </c>
      <c r="BA19" t="n">
        <v>6</v>
      </c>
      <c r="BB19" t="n">
        <v>482</v>
      </c>
      <c r="BC19" t="n">
        <v>0</v>
      </c>
      <c r="BD19" t="n">
        <v>0</v>
      </c>
      <c r="BE19" t="n">
        <v>749</v>
      </c>
      <c r="BF19" t="n">
        <v>11</v>
      </c>
      <c r="BG19" t="n">
        <v>8</v>
      </c>
      <c r="BH19" t="n">
        <v>320</v>
      </c>
      <c r="BI19" t="n">
        <v>60</v>
      </c>
      <c r="BJ19" t="n">
        <v>117</v>
      </c>
      <c r="BK19" t="n">
        <v>0</v>
      </c>
      <c r="BL19" t="n">
        <v>11</v>
      </c>
      <c r="BM19" t="n">
        <v>36</v>
      </c>
      <c r="BN19" t="n">
        <v>5</v>
      </c>
      <c r="BO19" t="n">
        <v>0</v>
      </c>
      <c r="BP19" t="n">
        <v>341</v>
      </c>
      <c r="BQ19" t="n">
        <v>901</v>
      </c>
      <c r="BR19" t="n">
        <v>1650</v>
      </c>
      <c r="BS19" t="n">
        <v>15929</v>
      </c>
    </row>
    <row r="20">
      <c r="A20" t="n">
        <v>2023</v>
      </c>
      <c r="B20" t="inlineStr">
        <is>
          <t>Sud-ouest</t>
        </is>
      </c>
      <c r="C20" t="inlineStr">
        <is>
          <t>Nouvelle-Aquitaine</t>
        </is>
      </c>
      <c r="D20" t="inlineStr">
        <is>
          <t>17</t>
        </is>
      </c>
      <c r="E20" t="inlineStr">
        <is>
          <t>Charente-Maritime</t>
        </is>
      </c>
      <c r="F20" t="inlineStr">
        <is>
          <t>B</t>
        </is>
      </c>
      <c r="G20" t="n">
        <v>347</v>
      </c>
      <c r="H20" t="n">
        <v>208</v>
      </c>
      <c r="I20" t="n">
        <v>37</v>
      </c>
      <c r="J20" t="n">
        <v>35</v>
      </c>
      <c r="K20" t="n">
        <v>35</v>
      </c>
      <c r="L20" t="n">
        <v>18</v>
      </c>
      <c r="M20" t="n">
        <v>19</v>
      </c>
      <c r="N20" t="n">
        <v>335</v>
      </c>
      <c r="O20" t="n">
        <v>493</v>
      </c>
      <c r="P20" t="n">
        <v>323</v>
      </c>
      <c r="Q20" t="n">
        <v>789</v>
      </c>
      <c r="R20" t="n">
        <v>2431</v>
      </c>
      <c r="S20" t="n">
        <v>843</v>
      </c>
      <c r="T20" t="n">
        <v>4823</v>
      </c>
      <c r="U20" t="n">
        <v>772</v>
      </c>
      <c r="V20" t="n">
        <v>4009</v>
      </c>
      <c r="W20" t="n">
        <v>0</v>
      </c>
      <c r="X20" t="n">
        <v>735</v>
      </c>
      <c r="Y20" t="n">
        <v>13342</v>
      </c>
      <c r="Z20" t="n">
        <v>1310</v>
      </c>
      <c r="AA20" t="n">
        <v>90</v>
      </c>
      <c r="AB20" t="n">
        <v>5179</v>
      </c>
      <c r="AC20" t="n">
        <v>1479</v>
      </c>
      <c r="AD20" t="n">
        <v>26</v>
      </c>
      <c r="AE20" t="n">
        <v>203</v>
      </c>
      <c r="AF20" t="n">
        <v>203</v>
      </c>
      <c r="AG20" t="n">
        <v>34</v>
      </c>
      <c r="AH20" t="n">
        <v>3731</v>
      </c>
      <c r="AI20" t="n">
        <v>36745</v>
      </c>
      <c r="AJ20" t="n">
        <v>3688</v>
      </c>
      <c r="AK20" t="n">
        <v>105</v>
      </c>
      <c r="AL20" t="n">
        <v>3793</v>
      </c>
      <c r="AM20" t="n">
        <v>40538</v>
      </c>
      <c r="AN20" t="n">
        <v>3872</v>
      </c>
      <c r="AO20" t="n">
        <v>3</v>
      </c>
      <c r="AP20" t="n">
        <v>3</v>
      </c>
      <c r="AQ20" t="n">
        <v>6</v>
      </c>
      <c r="AR20" t="n">
        <v>0</v>
      </c>
      <c r="AS20" t="n">
        <v>3884</v>
      </c>
      <c r="AT20" t="n">
        <v>145</v>
      </c>
      <c r="AU20" t="n">
        <v>207</v>
      </c>
      <c r="AV20" t="n">
        <v>100</v>
      </c>
      <c r="AW20" t="n">
        <v>46</v>
      </c>
      <c r="AX20" t="n">
        <v>0</v>
      </c>
      <c r="AY20" t="n">
        <v>498</v>
      </c>
      <c r="AZ20" t="n">
        <v>342</v>
      </c>
      <c r="BA20" t="n">
        <v>599</v>
      </c>
      <c r="BB20" t="n">
        <v>134</v>
      </c>
      <c r="BC20" t="n">
        <v>1</v>
      </c>
      <c r="BD20" t="n">
        <v>7</v>
      </c>
      <c r="BE20" t="n">
        <v>1083</v>
      </c>
      <c r="BF20" t="n">
        <v>448</v>
      </c>
      <c r="BG20" t="n">
        <v>0</v>
      </c>
      <c r="BH20" t="n">
        <v>551</v>
      </c>
      <c r="BI20" t="n">
        <v>33</v>
      </c>
      <c r="BJ20" t="n">
        <v>145</v>
      </c>
      <c r="BK20" t="n">
        <v>4</v>
      </c>
      <c r="BL20" t="n">
        <v>44</v>
      </c>
      <c r="BM20" t="n">
        <v>263</v>
      </c>
      <c r="BN20" t="n">
        <v>960</v>
      </c>
      <c r="BO20" t="n">
        <v>1</v>
      </c>
      <c r="BP20" t="n">
        <v>1323</v>
      </c>
      <c r="BQ20" t="n">
        <v>3772</v>
      </c>
      <c r="BR20" t="n">
        <v>4855</v>
      </c>
      <c r="BS20" t="n">
        <v>52206</v>
      </c>
    </row>
    <row r="21">
      <c r="A21" t="n">
        <v>2023</v>
      </c>
      <c r="B21" t="inlineStr">
        <is>
          <t>Ouest</t>
        </is>
      </c>
      <c r="C21" t="inlineStr">
        <is>
          <t>Centre-Val de Loire</t>
        </is>
      </c>
      <c r="D21" t="inlineStr">
        <is>
          <t>18</t>
        </is>
      </c>
      <c r="E21" t="inlineStr">
        <is>
          <t>Cher</t>
        </is>
      </c>
      <c r="F21" t="inlineStr">
        <is>
          <t>C</t>
        </is>
      </c>
      <c r="G21" t="n">
        <v>377</v>
      </c>
      <c r="H21" t="n">
        <v>223</v>
      </c>
      <c r="I21" t="n">
        <v>6</v>
      </c>
      <c r="J21" t="n">
        <v>15</v>
      </c>
      <c r="K21" t="n">
        <v>8</v>
      </c>
      <c r="L21" t="n">
        <v>0</v>
      </c>
      <c r="M21" t="n">
        <v>17</v>
      </c>
      <c r="N21" t="n">
        <v>131</v>
      </c>
      <c r="O21" t="n">
        <v>267</v>
      </c>
      <c r="P21" t="n">
        <v>292</v>
      </c>
      <c r="Q21" t="n">
        <v>366</v>
      </c>
      <c r="R21" t="n">
        <v>1479</v>
      </c>
      <c r="S21" t="n">
        <v>835</v>
      </c>
      <c r="T21" t="n">
        <v>1269</v>
      </c>
      <c r="U21" t="n">
        <v>0</v>
      </c>
      <c r="V21" t="n">
        <v>3095</v>
      </c>
      <c r="W21" t="n">
        <v>0</v>
      </c>
      <c r="X21" t="n">
        <v>839</v>
      </c>
      <c r="Y21" t="n">
        <v>7186</v>
      </c>
      <c r="Z21" t="n">
        <v>2790</v>
      </c>
      <c r="AA21" t="n">
        <v>0</v>
      </c>
      <c r="AB21" t="n">
        <v>872</v>
      </c>
      <c r="AC21" t="n">
        <v>611</v>
      </c>
      <c r="AD21" t="n">
        <v>23</v>
      </c>
      <c r="AE21" t="n">
        <v>0</v>
      </c>
      <c r="AF21" t="n">
        <v>14</v>
      </c>
      <c r="AG21" t="n">
        <v>14</v>
      </c>
      <c r="AH21" t="n">
        <v>0</v>
      </c>
      <c r="AI21" t="n">
        <v>17534</v>
      </c>
      <c r="AJ21" t="n">
        <v>1999</v>
      </c>
      <c r="AK21" t="n">
        <v>34</v>
      </c>
      <c r="AL21" t="n">
        <v>2033</v>
      </c>
      <c r="AM21" t="n">
        <v>19567</v>
      </c>
      <c r="AN21" t="n">
        <v>1407</v>
      </c>
      <c r="AO21" t="n">
        <v>2</v>
      </c>
      <c r="AP21" t="n">
        <v>1</v>
      </c>
      <c r="AQ21" t="n">
        <v>0</v>
      </c>
      <c r="AR21" t="n">
        <v>0</v>
      </c>
      <c r="AS21" t="n">
        <v>1410</v>
      </c>
      <c r="AT21" t="n">
        <v>91</v>
      </c>
      <c r="AU21" t="n">
        <v>111</v>
      </c>
      <c r="AV21" t="n">
        <v>16</v>
      </c>
      <c r="AW21" t="n">
        <v>17</v>
      </c>
      <c r="AX21" t="n">
        <v>4</v>
      </c>
      <c r="AY21" t="n">
        <v>239</v>
      </c>
      <c r="AZ21" t="n">
        <v>183</v>
      </c>
      <c r="BA21" t="n">
        <v>264</v>
      </c>
      <c r="BB21" t="n">
        <v>19</v>
      </c>
      <c r="BC21" t="n">
        <v>2</v>
      </c>
      <c r="BD21" t="n">
        <v>0</v>
      </c>
      <c r="BE21" t="n">
        <v>468</v>
      </c>
      <c r="BF21" t="n">
        <v>0</v>
      </c>
      <c r="BG21" t="n">
        <v>0</v>
      </c>
      <c r="BH21" t="n">
        <v>187</v>
      </c>
      <c r="BI21" t="n">
        <v>52</v>
      </c>
      <c r="BJ21" t="n">
        <v>0</v>
      </c>
      <c r="BK21" t="n">
        <v>2</v>
      </c>
      <c r="BL21" t="n">
        <v>0</v>
      </c>
      <c r="BM21" t="n">
        <v>22</v>
      </c>
      <c r="BN21" t="n">
        <v>0</v>
      </c>
      <c r="BO21" t="n">
        <v>2</v>
      </c>
      <c r="BP21" t="n">
        <v>265</v>
      </c>
      <c r="BQ21" t="n">
        <v>530</v>
      </c>
      <c r="BR21" t="n">
        <v>998</v>
      </c>
      <c r="BS21" t="n">
        <v>23693</v>
      </c>
    </row>
    <row r="22">
      <c r="A22" t="n">
        <v>2023</v>
      </c>
      <c r="B22" t="inlineStr">
        <is>
          <t>Sud-ouest</t>
        </is>
      </c>
      <c r="C22" t="inlineStr">
        <is>
          <t>Nouvelle-Aquitaine</t>
        </is>
      </c>
      <c r="D22" t="inlineStr">
        <is>
          <t>19</t>
        </is>
      </c>
      <c r="E22" t="inlineStr">
        <is>
          <t>Corr�ze</t>
        </is>
      </c>
      <c r="F22" t="inlineStr">
        <is>
          <t>C</t>
        </is>
      </c>
      <c r="G22" t="n">
        <v>370</v>
      </c>
      <c r="H22" t="n">
        <v>202</v>
      </c>
      <c r="I22" t="n">
        <v>9</v>
      </c>
      <c r="J22" t="n">
        <v>12</v>
      </c>
      <c r="K22" t="n">
        <v>7</v>
      </c>
      <c r="L22" t="n">
        <v>7</v>
      </c>
      <c r="M22" t="n">
        <v>16</v>
      </c>
      <c r="N22" t="n">
        <v>126</v>
      </c>
      <c r="O22" t="n">
        <v>135</v>
      </c>
      <c r="P22" t="n">
        <v>185</v>
      </c>
      <c r="Q22" t="n">
        <v>122</v>
      </c>
      <c r="R22" t="n">
        <v>989</v>
      </c>
      <c r="S22" t="n">
        <v>80</v>
      </c>
      <c r="T22" t="n">
        <v>631</v>
      </c>
      <c r="U22" t="n">
        <v>94</v>
      </c>
      <c r="V22" t="n">
        <v>1084</v>
      </c>
      <c r="W22" t="n">
        <v>0</v>
      </c>
      <c r="X22" t="n">
        <v>71</v>
      </c>
      <c r="Y22" t="n">
        <v>3349</v>
      </c>
      <c r="Z22" t="n">
        <v>1763</v>
      </c>
      <c r="AA22" t="n">
        <v>8</v>
      </c>
      <c r="AB22" t="n">
        <v>1732</v>
      </c>
      <c r="AC22" t="n">
        <v>254</v>
      </c>
      <c r="AD22" t="n">
        <v>9</v>
      </c>
      <c r="AE22" t="n">
        <v>0</v>
      </c>
      <c r="AF22" t="n">
        <v>23</v>
      </c>
      <c r="AG22" t="n">
        <v>16</v>
      </c>
      <c r="AH22" t="n">
        <v>1297</v>
      </c>
      <c r="AI22" t="n">
        <v>10395</v>
      </c>
      <c r="AJ22" t="n">
        <v>2386</v>
      </c>
      <c r="AK22" t="n">
        <v>4</v>
      </c>
      <c r="AL22" t="n">
        <v>2390</v>
      </c>
      <c r="AM22" t="n">
        <v>12785</v>
      </c>
      <c r="AN22" t="n">
        <v>1275</v>
      </c>
      <c r="AO22" t="n">
        <v>3</v>
      </c>
      <c r="AP22" t="n">
        <v>1</v>
      </c>
      <c r="AQ22" t="n">
        <v>0</v>
      </c>
      <c r="AR22" t="n">
        <v>0</v>
      </c>
      <c r="AS22" t="n">
        <v>1279</v>
      </c>
      <c r="AT22" t="n">
        <v>104</v>
      </c>
      <c r="AU22" t="n">
        <v>14</v>
      </c>
      <c r="AV22" t="n">
        <v>0</v>
      </c>
      <c r="AW22" t="n">
        <v>7</v>
      </c>
      <c r="AX22" t="n">
        <v>0</v>
      </c>
      <c r="AY22" t="n">
        <v>125</v>
      </c>
      <c r="AZ22" t="n">
        <v>335</v>
      </c>
      <c r="BA22" t="n">
        <v>41</v>
      </c>
      <c r="BB22" t="n">
        <v>19</v>
      </c>
      <c r="BC22" t="n">
        <v>1</v>
      </c>
      <c r="BD22" t="n">
        <v>0</v>
      </c>
      <c r="BE22" t="n">
        <v>396</v>
      </c>
      <c r="BF22" t="n">
        <v>1</v>
      </c>
      <c r="BG22" t="n">
        <v>0</v>
      </c>
      <c r="BH22" t="n">
        <v>235</v>
      </c>
      <c r="BI22" t="n">
        <v>253</v>
      </c>
      <c r="BJ22" t="n">
        <v>125</v>
      </c>
      <c r="BK22" t="n">
        <v>0</v>
      </c>
      <c r="BL22" t="n">
        <v>4</v>
      </c>
      <c r="BM22" t="n">
        <v>0</v>
      </c>
      <c r="BN22" t="n">
        <v>70</v>
      </c>
      <c r="BO22" t="n">
        <v>0</v>
      </c>
      <c r="BP22" t="n">
        <v>438</v>
      </c>
      <c r="BQ22" t="n">
        <v>1126</v>
      </c>
      <c r="BR22" t="n">
        <v>1522</v>
      </c>
      <c r="BS22" t="n">
        <v>16700</v>
      </c>
    </row>
    <row r="23">
      <c r="A23" t="n">
        <v>2023</v>
      </c>
      <c r="B23" t="inlineStr">
        <is>
          <t>Est</t>
        </is>
      </c>
      <c r="C23" t="inlineStr">
        <is>
          <t>Bourgogne-Franche-Comt�</t>
        </is>
      </c>
      <c r="D23" t="inlineStr">
        <is>
          <t>21</t>
        </is>
      </c>
      <c r="E23" t="inlineStr">
        <is>
          <t>C�te-d'Or</t>
        </is>
      </c>
      <c r="F23" t="inlineStr">
        <is>
          <t>B</t>
        </is>
      </c>
      <c r="G23" t="n">
        <v>549</v>
      </c>
      <c r="H23" t="n">
        <v>250</v>
      </c>
      <c r="I23" t="n">
        <v>14</v>
      </c>
      <c r="J23" t="n">
        <v>38</v>
      </c>
      <c r="K23" t="n">
        <v>47</v>
      </c>
      <c r="L23" t="n">
        <v>5</v>
      </c>
      <c r="M23" t="n">
        <v>17</v>
      </c>
      <c r="N23" t="n">
        <v>232</v>
      </c>
      <c r="O23" t="n">
        <v>387</v>
      </c>
      <c r="P23" t="n">
        <v>477</v>
      </c>
      <c r="Q23" t="n">
        <v>486</v>
      </c>
      <c r="R23" t="n">
        <v>2252</v>
      </c>
      <c r="S23" t="n">
        <v>0</v>
      </c>
      <c r="T23" t="n">
        <v>134</v>
      </c>
      <c r="U23" t="n">
        <v>0</v>
      </c>
      <c r="V23" t="n">
        <v>0</v>
      </c>
      <c r="W23" t="n">
        <v>0</v>
      </c>
      <c r="X23" t="n">
        <v>0</v>
      </c>
      <c r="Y23" t="n">
        <v>5026</v>
      </c>
      <c r="Z23" t="n">
        <v>4471</v>
      </c>
      <c r="AA23" t="n">
        <v>0</v>
      </c>
      <c r="AB23" t="n">
        <v>6163</v>
      </c>
      <c r="AC23" t="n">
        <v>526</v>
      </c>
      <c r="AD23" t="n">
        <v>9</v>
      </c>
      <c r="AE23" t="n">
        <v>0</v>
      </c>
      <c r="AF23" t="n">
        <v>39</v>
      </c>
      <c r="AG23" t="n">
        <v>35</v>
      </c>
      <c r="AH23" t="n">
        <v>2907</v>
      </c>
      <c r="AI23" t="n">
        <v>19275</v>
      </c>
      <c r="AJ23" t="n">
        <v>4</v>
      </c>
      <c r="AK23" t="n">
        <v>376</v>
      </c>
      <c r="AL23" t="n">
        <v>380</v>
      </c>
      <c r="AM23" t="n">
        <v>19655</v>
      </c>
      <c r="AN23" t="n">
        <v>2263</v>
      </c>
      <c r="AO23" t="n">
        <v>12</v>
      </c>
      <c r="AP23" t="n">
        <v>8</v>
      </c>
      <c r="AQ23" t="n">
        <v>1</v>
      </c>
      <c r="AR23" t="n">
        <v>0</v>
      </c>
      <c r="AS23" t="n">
        <v>2284</v>
      </c>
      <c r="AT23" t="n">
        <v>211</v>
      </c>
      <c r="AU23" t="n">
        <v>174</v>
      </c>
      <c r="AV23" t="n">
        <v>38</v>
      </c>
      <c r="AW23" t="n">
        <v>24</v>
      </c>
      <c r="AX23" t="n">
        <v>7</v>
      </c>
      <c r="AY23" t="n">
        <v>454</v>
      </c>
      <c r="AZ23" t="n">
        <v>422</v>
      </c>
      <c r="BA23" t="n">
        <v>231</v>
      </c>
      <c r="BB23" t="n">
        <v>0</v>
      </c>
      <c r="BC23" t="n">
        <v>6</v>
      </c>
      <c r="BD23" t="n">
        <v>0</v>
      </c>
      <c r="BE23" t="n">
        <v>659</v>
      </c>
      <c r="BF23" t="n">
        <v>0</v>
      </c>
      <c r="BG23" t="n">
        <v>0</v>
      </c>
      <c r="BH23" t="n">
        <v>175</v>
      </c>
      <c r="BI23" t="n">
        <v>349</v>
      </c>
      <c r="BJ23" t="n">
        <v>23</v>
      </c>
      <c r="BK23" t="n">
        <v>0</v>
      </c>
      <c r="BL23" t="n">
        <v>2</v>
      </c>
      <c r="BM23" t="n">
        <v>142</v>
      </c>
      <c r="BN23" t="n">
        <v>29</v>
      </c>
      <c r="BO23" t="n">
        <v>0</v>
      </c>
      <c r="BP23" t="n">
        <v>407</v>
      </c>
      <c r="BQ23" t="n">
        <v>1127</v>
      </c>
      <c r="BR23" t="n">
        <v>1786</v>
      </c>
      <c r="BS23" t="n">
        <v>26431</v>
      </c>
    </row>
    <row r="24">
      <c r="A24" t="n">
        <v>2023</v>
      </c>
      <c r="B24" t="inlineStr">
        <is>
          <t>Ouest</t>
        </is>
      </c>
      <c r="C24" t="inlineStr">
        <is>
          <t>Bretagne</t>
        </is>
      </c>
      <c r="D24" t="inlineStr">
        <is>
          <t>22</t>
        </is>
      </c>
      <c r="E24" t="inlineStr">
        <is>
          <t>C�tes-d'Armor</t>
        </is>
      </c>
      <c r="F24" t="inlineStr">
        <is>
          <t>B</t>
        </is>
      </c>
      <c r="G24" t="n">
        <v>1545</v>
      </c>
      <c r="H24" t="n">
        <v>227</v>
      </c>
      <c r="I24" t="n">
        <v>104</v>
      </c>
      <c r="J24" t="n">
        <v>58</v>
      </c>
      <c r="K24" t="n">
        <v>83</v>
      </c>
      <c r="L24" t="n">
        <v>18</v>
      </c>
      <c r="M24" t="n">
        <v>102</v>
      </c>
      <c r="N24" t="n">
        <v>281</v>
      </c>
      <c r="O24" t="n">
        <v>268</v>
      </c>
      <c r="P24" t="n">
        <v>290</v>
      </c>
      <c r="Q24" t="n">
        <v>501</v>
      </c>
      <c r="R24" t="n">
        <v>3250</v>
      </c>
      <c r="S24" t="n">
        <v>697</v>
      </c>
      <c r="T24" t="n">
        <v>3549</v>
      </c>
      <c r="U24" t="n">
        <v>894</v>
      </c>
      <c r="V24" t="n">
        <v>2462</v>
      </c>
      <c r="W24" t="n">
        <v>0</v>
      </c>
      <c r="X24" t="n">
        <v>587</v>
      </c>
      <c r="Y24" t="n">
        <v>10330</v>
      </c>
      <c r="Z24" t="n">
        <v>8506</v>
      </c>
      <c r="AA24" t="n">
        <v>129</v>
      </c>
      <c r="AB24" t="n">
        <v>4000</v>
      </c>
      <c r="AC24" t="n">
        <v>561</v>
      </c>
      <c r="AD24" t="n">
        <v>19</v>
      </c>
      <c r="AE24" t="n">
        <v>107</v>
      </c>
      <c r="AF24" t="n">
        <v>271</v>
      </c>
      <c r="AG24" t="n">
        <v>21</v>
      </c>
      <c r="AH24" t="n">
        <v>8</v>
      </c>
      <c r="AI24" t="n">
        <v>32120</v>
      </c>
      <c r="AJ24" t="n">
        <v>493</v>
      </c>
      <c r="AK24" t="n">
        <v>4</v>
      </c>
      <c r="AL24" t="n">
        <v>497</v>
      </c>
      <c r="AM24" t="n">
        <v>32617</v>
      </c>
      <c r="AN24" t="n">
        <v>2625</v>
      </c>
      <c r="AO24" t="n">
        <v>2</v>
      </c>
      <c r="AP24" t="n">
        <v>2</v>
      </c>
      <c r="AQ24" t="n">
        <v>10</v>
      </c>
      <c r="AR24" t="n">
        <v>0</v>
      </c>
      <c r="AS24" t="n">
        <v>2639</v>
      </c>
      <c r="AT24" t="n">
        <v>155</v>
      </c>
      <c r="AU24" t="n">
        <v>37</v>
      </c>
      <c r="AV24" t="n">
        <v>104</v>
      </c>
      <c r="AW24" t="n">
        <v>45</v>
      </c>
      <c r="AX24" t="n">
        <v>88</v>
      </c>
      <c r="AY24" t="n">
        <v>429</v>
      </c>
      <c r="AZ24" t="n">
        <v>206</v>
      </c>
      <c r="BA24" t="n">
        <v>226</v>
      </c>
      <c r="BB24" t="n">
        <v>501</v>
      </c>
      <c r="BC24" t="n">
        <v>47</v>
      </c>
      <c r="BD24" t="n">
        <v>22</v>
      </c>
      <c r="BE24" t="n">
        <v>1002</v>
      </c>
      <c r="BF24" t="n">
        <v>95</v>
      </c>
      <c r="BG24" t="n">
        <v>0</v>
      </c>
      <c r="BH24" t="n">
        <v>283</v>
      </c>
      <c r="BI24" t="n">
        <v>16</v>
      </c>
      <c r="BJ24" t="n">
        <v>398</v>
      </c>
      <c r="BK24" t="n">
        <v>13</v>
      </c>
      <c r="BL24" t="n">
        <v>24</v>
      </c>
      <c r="BM24" t="n">
        <v>127</v>
      </c>
      <c r="BN24" t="n">
        <v>5</v>
      </c>
      <c r="BO24" t="n">
        <v>4</v>
      </c>
      <c r="BP24" t="n">
        <v>622</v>
      </c>
      <c r="BQ24" t="n">
        <v>1587</v>
      </c>
      <c r="BR24" t="n">
        <v>2589</v>
      </c>
      <c r="BS24" t="n">
        <v>41524</v>
      </c>
    </row>
    <row r="25">
      <c r="A25" t="n">
        <v>2023</v>
      </c>
      <c r="B25" t="inlineStr">
        <is>
          <t>Sud-ouest</t>
        </is>
      </c>
      <c r="C25" t="inlineStr">
        <is>
          <t>Nouvelle-Aquitaine</t>
        </is>
      </c>
      <c r="D25" t="inlineStr">
        <is>
          <t>23</t>
        </is>
      </c>
      <c r="E25" t="inlineStr">
        <is>
          <t>Creuse</t>
        </is>
      </c>
      <c r="F25" t="inlineStr">
        <is>
          <t>C</t>
        </is>
      </c>
      <c r="G25" t="n">
        <v>257</v>
      </c>
      <c r="H25" t="n">
        <v>193</v>
      </c>
      <c r="I25" t="n">
        <v>0</v>
      </c>
      <c r="J25" t="n">
        <v>0</v>
      </c>
      <c r="K25" t="n">
        <v>1</v>
      </c>
      <c r="L25" t="n">
        <v>0</v>
      </c>
      <c r="M25" t="n">
        <v>21</v>
      </c>
      <c r="N25" t="n">
        <v>80</v>
      </c>
      <c r="O25" t="n">
        <v>63</v>
      </c>
      <c r="P25" t="n">
        <v>130</v>
      </c>
      <c r="Q25" t="n">
        <v>113</v>
      </c>
      <c r="R25" t="n">
        <v>665</v>
      </c>
      <c r="S25" t="n">
        <v>192</v>
      </c>
      <c r="T25" t="n">
        <v>1184</v>
      </c>
      <c r="U25" t="n">
        <v>183</v>
      </c>
      <c r="V25" t="n">
        <v>671</v>
      </c>
      <c r="W25" t="n">
        <v>0</v>
      </c>
      <c r="X25" t="n">
        <v>0</v>
      </c>
      <c r="Y25" t="n">
        <v>2602</v>
      </c>
      <c r="Z25" t="n">
        <v>870</v>
      </c>
      <c r="AA25" t="n">
        <v>0</v>
      </c>
      <c r="AB25" t="n">
        <v>1139</v>
      </c>
      <c r="AC25" t="n">
        <v>255</v>
      </c>
      <c r="AD25" t="n">
        <v>2</v>
      </c>
      <c r="AE25" t="n">
        <v>0</v>
      </c>
      <c r="AF25" t="n">
        <v>31</v>
      </c>
      <c r="AG25" t="n">
        <v>8</v>
      </c>
      <c r="AH25" t="n">
        <v>22</v>
      </c>
      <c r="AI25" t="n">
        <v>7151</v>
      </c>
      <c r="AJ25" t="n">
        <v>1851</v>
      </c>
      <c r="AK25" t="n">
        <v>0</v>
      </c>
      <c r="AL25" t="n">
        <v>1851</v>
      </c>
      <c r="AM25" t="n">
        <v>9002</v>
      </c>
      <c r="AN25" t="n">
        <v>496</v>
      </c>
      <c r="AO25" t="n">
        <v>0</v>
      </c>
      <c r="AP25" t="n">
        <v>1</v>
      </c>
      <c r="AQ25" t="n">
        <v>0</v>
      </c>
      <c r="AR25" t="n">
        <v>0</v>
      </c>
      <c r="AS25" t="n">
        <v>497</v>
      </c>
      <c r="AT25" t="n">
        <v>33</v>
      </c>
      <c r="AU25" t="n">
        <v>56</v>
      </c>
      <c r="AV25" t="n">
        <v>69</v>
      </c>
      <c r="AW25" t="n">
        <v>9</v>
      </c>
      <c r="AX25" t="n">
        <v>0</v>
      </c>
      <c r="AY25" t="n">
        <v>167</v>
      </c>
      <c r="AZ25" t="n">
        <v>58</v>
      </c>
      <c r="BA25" t="n">
        <v>167</v>
      </c>
      <c r="BB25" t="n">
        <v>15</v>
      </c>
      <c r="BC25" t="n">
        <v>0</v>
      </c>
      <c r="BD25" t="n">
        <v>0</v>
      </c>
      <c r="BE25" t="n">
        <v>240</v>
      </c>
      <c r="BF25" t="n">
        <v>0</v>
      </c>
      <c r="BG25" t="n">
        <v>0</v>
      </c>
      <c r="BH25" t="n">
        <v>97</v>
      </c>
      <c r="BI25" t="n">
        <v>121</v>
      </c>
      <c r="BJ25" t="n">
        <v>0</v>
      </c>
      <c r="BK25" t="n">
        <v>0</v>
      </c>
      <c r="BL25" t="n">
        <v>3</v>
      </c>
      <c r="BM25" t="n">
        <v>5</v>
      </c>
      <c r="BN25" t="n">
        <v>0</v>
      </c>
      <c r="BO25" t="n">
        <v>0</v>
      </c>
      <c r="BP25" t="n">
        <v>383</v>
      </c>
      <c r="BQ25" t="n">
        <v>609</v>
      </c>
      <c r="BR25" t="n">
        <v>849</v>
      </c>
      <c r="BS25" t="n">
        <v>11180</v>
      </c>
    </row>
    <row r="26">
      <c r="A26" t="n">
        <v>2023</v>
      </c>
      <c r="B26" t="inlineStr">
        <is>
          <t>Sud-ouest</t>
        </is>
      </c>
      <c r="C26" t="inlineStr">
        <is>
          <t>Nouvelle-Aquitaine</t>
        </is>
      </c>
      <c r="D26" t="inlineStr">
        <is>
          <t>24</t>
        </is>
      </c>
      <c r="E26" t="inlineStr">
        <is>
          <t>Dordogne</t>
        </is>
      </c>
      <c r="F26" t="inlineStr">
        <is>
          <t>B</t>
        </is>
      </c>
      <c r="G26" t="n">
        <v>643</v>
      </c>
      <c r="H26" t="n">
        <v>352</v>
      </c>
      <c r="I26" t="n">
        <v>8</v>
      </c>
      <c r="J26" t="n">
        <v>19</v>
      </c>
      <c r="K26" t="n">
        <v>31</v>
      </c>
      <c r="L26" t="n">
        <v>4</v>
      </c>
      <c r="M26" t="n">
        <v>35</v>
      </c>
      <c r="N26" t="n">
        <v>111</v>
      </c>
      <c r="O26" t="n">
        <v>247</v>
      </c>
      <c r="P26" t="n">
        <v>350</v>
      </c>
      <c r="Q26" t="n">
        <v>384</v>
      </c>
      <c r="R26" t="n">
        <v>1832</v>
      </c>
      <c r="S26" t="n">
        <v>601</v>
      </c>
      <c r="T26" t="n">
        <v>2642</v>
      </c>
      <c r="U26" t="n">
        <v>333</v>
      </c>
      <c r="V26" t="n">
        <v>3154</v>
      </c>
      <c r="W26" t="n">
        <v>0</v>
      </c>
      <c r="X26" t="n">
        <v>416</v>
      </c>
      <c r="Y26" t="n">
        <v>10422</v>
      </c>
      <c r="Z26" t="n">
        <v>1093</v>
      </c>
      <c r="AA26" t="n">
        <v>10</v>
      </c>
      <c r="AB26" t="n">
        <v>2393</v>
      </c>
      <c r="AC26" t="n">
        <v>45</v>
      </c>
      <c r="AD26" t="n">
        <v>32</v>
      </c>
      <c r="AE26" t="n">
        <v>0</v>
      </c>
      <c r="AF26" t="n">
        <v>636</v>
      </c>
      <c r="AG26" t="n">
        <v>43</v>
      </c>
      <c r="AH26" t="n">
        <v>1679</v>
      </c>
      <c r="AI26" t="n">
        <v>23456</v>
      </c>
      <c r="AJ26" t="n">
        <v>3810</v>
      </c>
      <c r="AK26" t="n">
        <v>5</v>
      </c>
      <c r="AL26" t="n">
        <v>3815</v>
      </c>
      <c r="AM26" t="n">
        <v>27271</v>
      </c>
      <c r="AN26" t="n">
        <v>2130</v>
      </c>
      <c r="AO26" t="n">
        <v>5</v>
      </c>
      <c r="AP26" t="n">
        <v>4</v>
      </c>
      <c r="AQ26" t="n">
        <v>0</v>
      </c>
      <c r="AR26" t="n">
        <v>0</v>
      </c>
      <c r="AS26" t="n">
        <v>2139</v>
      </c>
      <c r="AT26" t="n">
        <v>197</v>
      </c>
      <c r="AU26" t="n">
        <v>68</v>
      </c>
      <c r="AV26" t="n">
        <v>90</v>
      </c>
      <c r="AW26" t="n">
        <v>15</v>
      </c>
      <c r="AX26" t="n">
        <v>8</v>
      </c>
      <c r="AY26" t="n">
        <v>378</v>
      </c>
      <c r="AZ26" t="n">
        <v>249</v>
      </c>
      <c r="BA26" t="n">
        <v>100</v>
      </c>
      <c r="BB26" t="n">
        <v>177</v>
      </c>
      <c r="BC26" t="n">
        <v>10</v>
      </c>
      <c r="BD26" t="n">
        <v>0</v>
      </c>
      <c r="BE26" t="n">
        <v>536</v>
      </c>
      <c r="BF26" t="n">
        <v>72</v>
      </c>
      <c r="BG26" t="n">
        <v>9</v>
      </c>
      <c r="BH26" t="n">
        <v>326</v>
      </c>
      <c r="BI26" t="n">
        <v>213</v>
      </c>
      <c r="BJ26" t="n">
        <v>157</v>
      </c>
      <c r="BK26" t="n">
        <v>0</v>
      </c>
      <c r="BL26" t="n">
        <v>22</v>
      </c>
      <c r="BM26" t="n">
        <v>33</v>
      </c>
      <c r="BN26" t="n">
        <v>7</v>
      </c>
      <c r="BO26" t="n">
        <v>0</v>
      </c>
      <c r="BP26" t="n">
        <v>372</v>
      </c>
      <c r="BQ26" t="n">
        <v>1202</v>
      </c>
      <c r="BR26" t="n">
        <v>1738</v>
      </c>
      <c r="BS26" t="n">
        <v>33358</v>
      </c>
    </row>
    <row r="27">
      <c r="A27" t="n">
        <v>2023</v>
      </c>
      <c r="B27" t="inlineStr">
        <is>
          <t>Est</t>
        </is>
      </c>
      <c r="C27" t="inlineStr">
        <is>
          <t>Bourgogne-Franche-Comt�</t>
        </is>
      </c>
      <c r="D27" t="inlineStr">
        <is>
          <t>25</t>
        </is>
      </c>
      <c r="E27" t="inlineStr">
        <is>
          <t>Doubs</t>
        </is>
      </c>
      <c r="F27" t="inlineStr">
        <is>
          <t>B</t>
        </is>
      </c>
      <c r="G27" t="n">
        <v>766</v>
      </c>
      <c r="H27" t="n">
        <v>343</v>
      </c>
      <c r="I27" t="n">
        <v>18</v>
      </c>
      <c r="J27" t="n">
        <v>39</v>
      </c>
      <c r="K27" t="n">
        <v>41</v>
      </c>
      <c r="L27" t="n">
        <v>17</v>
      </c>
      <c r="M27" t="n">
        <v>38</v>
      </c>
      <c r="N27" t="n">
        <v>498</v>
      </c>
      <c r="O27" t="n">
        <v>388</v>
      </c>
      <c r="P27" t="n">
        <v>320</v>
      </c>
      <c r="Q27" t="n">
        <v>288</v>
      </c>
      <c r="R27" t="n">
        <v>2413</v>
      </c>
      <c r="S27" t="n">
        <v>685</v>
      </c>
      <c r="T27" t="n">
        <v>2157</v>
      </c>
      <c r="U27" t="n">
        <v>277</v>
      </c>
      <c r="V27" t="n">
        <v>5332</v>
      </c>
      <c r="W27" t="n">
        <v>54</v>
      </c>
      <c r="X27" t="n">
        <v>652</v>
      </c>
      <c r="Y27" t="n">
        <v>6160</v>
      </c>
      <c r="Z27" t="n">
        <v>4091</v>
      </c>
      <c r="AA27" t="n">
        <v>50</v>
      </c>
      <c r="AB27" t="n">
        <v>3219</v>
      </c>
      <c r="AC27" t="n">
        <v>1045</v>
      </c>
      <c r="AD27" t="n">
        <v>27</v>
      </c>
      <c r="AE27" t="n">
        <v>0</v>
      </c>
      <c r="AF27" t="n">
        <v>46</v>
      </c>
      <c r="AG27" t="n">
        <v>42</v>
      </c>
      <c r="AH27" t="n">
        <v>646</v>
      </c>
      <c r="AI27" t="n">
        <v>24441</v>
      </c>
      <c r="AJ27" t="n">
        <v>2495</v>
      </c>
      <c r="AK27" t="n">
        <v>24</v>
      </c>
      <c r="AL27" t="n">
        <v>2519</v>
      </c>
      <c r="AM27" t="n">
        <v>26960</v>
      </c>
      <c r="AN27" t="n">
        <v>2392</v>
      </c>
      <c r="AO27" t="n">
        <v>6</v>
      </c>
      <c r="AP27" t="n">
        <v>0</v>
      </c>
      <c r="AQ27" t="n">
        <v>4</v>
      </c>
      <c r="AR27" t="n">
        <v>0</v>
      </c>
      <c r="AS27" t="n">
        <v>2402</v>
      </c>
      <c r="AT27" t="n">
        <v>156</v>
      </c>
      <c r="AU27" t="n">
        <v>176</v>
      </c>
      <c r="AV27" t="n">
        <v>0</v>
      </c>
      <c r="AW27" t="n">
        <v>63</v>
      </c>
      <c r="AX27" t="n">
        <v>46</v>
      </c>
      <c r="AY27" t="n">
        <v>441</v>
      </c>
      <c r="AZ27" t="n">
        <v>415</v>
      </c>
      <c r="BA27" t="n">
        <v>77</v>
      </c>
      <c r="BB27" t="n">
        <v>392</v>
      </c>
      <c r="BC27" t="n">
        <v>84</v>
      </c>
      <c r="BD27" t="n">
        <v>0</v>
      </c>
      <c r="BE27" t="n">
        <v>968</v>
      </c>
      <c r="BF27" t="n">
        <v>686</v>
      </c>
      <c r="BG27" t="n">
        <v>218</v>
      </c>
      <c r="BH27" t="n">
        <v>274</v>
      </c>
      <c r="BI27" t="n">
        <v>279</v>
      </c>
      <c r="BJ27" t="n">
        <v>17</v>
      </c>
      <c r="BK27" t="n">
        <v>0</v>
      </c>
      <c r="BL27" t="n">
        <v>6</v>
      </c>
      <c r="BM27" t="n">
        <v>117</v>
      </c>
      <c r="BN27" t="n">
        <v>13</v>
      </c>
      <c r="BO27" t="n">
        <v>2</v>
      </c>
      <c r="BP27" t="n">
        <v>90</v>
      </c>
      <c r="BQ27" t="n">
        <v>1484</v>
      </c>
      <c r="BR27" t="n">
        <v>2452</v>
      </c>
      <c r="BS27" t="n">
        <v>34668</v>
      </c>
    </row>
    <row r="28">
      <c r="A28" t="n">
        <v>2023</v>
      </c>
      <c r="B28" t="inlineStr">
        <is>
          <t>Sud-est</t>
        </is>
      </c>
      <c r="C28" t="inlineStr">
        <is>
          <t>Auvergne-Rh�ne-Alpes</t>
        </is>
      </c>
      <c r="D28" t="inlineStr">
        <is>
          <t>26</t>
        </is>
      </c>
      <c r="E28" t="inlineStr">
        <is>
          <t>Dr�me</t>
        </is>
      </c>
      <c r="F28" t="inlineStr">
        <is>
          <t>B</t>
        </is>
      </c>
      <c r="G28" t="n">
        <v>510</v>
      </c>
      <c r="H28" t="n">
        <v>132</v>
      </c>
      <c r="I28" t="n">
        <v>14</v>
      </c>
      <c r="J28" t="n">
        <v>27</v>
      </c>
      <c r="K28" t="n">
        <v>79</v>
      </c>
      <c r="L28" t="n">
        <v>8</v>
      </c>
      <c r="M28" t="n">
        <v>30</v>
      </c>
      <c r="N28" t="n">
        <v>278</v>
      </c>
      <c r="O28" t="n">
        <v>500</v>
      </c>
      <c r="P28" t="n">
        <v>878</v>
      </c>
      <c r="Q28" t="n">
        <v>332</v>
      </c>
      <c r="R28" t="n">
        <v>2656</v>
      </c>
      <c r="S28" t="n">
        <v>1123</v>
      </c>
      <c r="T28" t="n">
        <v>7411</v>
      </c>
      <c r="U28" t="n">
        <v>1965</v>
      </c>
      <c r="V28" t="n">
        <v>7412</v>
      </c>
      <c r="W28" t="n">
        <v>73</v>
      </c>
      <c r="X28" t="n">
        <v>1946</v>
      </c>
      <c r="Y28" t="n">
        <v>5123</v>
      </c>
      <c r="Z28" t="n">
        <v>1467</v>
      </c>
      <c r="AA28" t="n">
        <v>2165</v>
      </c>
      <c r="AB28" t="n">
        <v>3027</v>
      </c>
      <c r="AC28" t="n">
        <v>163</v>
      </c>
      <c r="AD28" t="n">
        <v>35</v>
      </c>
      <c r="AE28" t="n">
        <v>0</v>
      </c>
      <c r="AF28" t="n">
        <v>38</v>
      </c>
      <c r="AG28" t="n">
        <v>0</v>
      </c>
      <c r="AH28" t="n">
        <v>67</v>
      </c>
      <c r="AI28" t="n">
        <v>32015</v>
      </c>
      <c r="AJ28" t="n">
        <v>0</v>
      </c>
      <c r="AK28" t="n">
        <v>0</v>
      </c>
      <c r="AL28" t="n">
        <v>0</v>
      </c>
      <c r="AM28" t="n">
        <v>32015</v>
      </c>
      <c r="AN28" t="n">
        <v>2696</v>
      </c>
      <c r="AO28" t="n">
        <v>0</v>
      </c>
      <c r="AP28" t="n">
        <v>2</v>
      </c>
      <c r="AQ28" t="n">
        <v>9</v>
      </c>
      <c r="AR28" t="n">
        <v>0</v>
      </c>
      <c r="AS28" t="n">
        <v>2707</v>
      </c>
      <c r="AT28" t="n">
        <v>256</v>
      </c>
      <c r="AU28" t="n">
        <v>78</v>
      </c>
      <c r="AV28" t="n">
        <v>2</v>
      </c>
      <c r="AW28" t="n">
        <v>5</v>
      </c>
      <c r="AX28" t="n">
        <v>1</v>
      </c>
      <c r="AY28" t="n">
        <v>342</v>
      </c>
      <c r="AZ28" t="n">
        <v>369</v>
      </c>
      <c r="BA28" t="n">
        <v>485</v>
      </c>
      <c r="BB28" t="n">
        <v>1697</v>
      </c>
      <c r="BC28" t="n">
        <v>98</v>
      </c>
      <c r="BD28" t="n">
        <v>0</v>
      </c>
      <c r="BE28" t="n">
        <v>2649</v>
      </c>
      <c r="BF28" t="n">
        <v>0</v>
      </c>
      <c r="BG28" t="n">
        <v>0</v>
      </c>
      <c r="BH28" t="n">
        <v>389</v>
      </c>
      <c r="BI28" t="n">
        <v>298</v>
      </c>
      <c r="BJ28" t="n">
        <v>1309</v>
      </c>
      <c r="BK28" t="n">
        <v>2</v>
      </c>
      <c r="BL28" t="n">
        <v>8</v>
      </c>
      <c r="BM28" t="n">
        <v>96</v>
      </c>
      <c r="BN28" t="n">
        <v>152</v>
      </c>
      <c r="BO28" t="n">
        <v>0</v>
      </c>
      <c r="BP28" t="n">
        <v>219</v>
      </c>
      <c r="BQ28" t="n">
        <v>2473</v>
      </c>
      <c r="BR28" t="n">
        <v>5122</v>
      </c>
      <c r="BS28" t="n">
        <v>42842</v>
      </c>
    </row>
    <row r="29">
      <c r="A29" t="n">
        <v>2023</v>
      </c>
      <c r="B29" t="inlineStr">
        <is>
          <t>Ouest</t>
        </is>
      </c>
      <c r="C29" t="inlineStr">
        <is>
          <t>Normandie</t>
        </is>
      </c>
      <c r="D29" t="inlineStr">
        <is>
          <t>27</t>
        </is>
      </c>
      <c r="E29" t="inlineStr">
        <is>
          <t>Eure</t>
        </is>
      </c>
      <c r="F29" t="inlineStr">
        <is>
          <t>B</t>
        </is>
      </c>
      <c r="G29" t="n">
        <v>754</v>
      </c>
      <c r="H29" t="n">
        <v>294</v>
      </c>
      <c r="I29" t="n">
        <v>13</v>
      </c>
      <c r="J29" t="n">
        <v>55</v>
      </c>
      <c r="K29" t="n">
        <v>25</v>
      </c>
      <c r="L29" t="n">
        <v>19</v>
      </c>
      <c r="M29" t="n">
        <v>22</v>
      </c>
      <c r="N29" t="n">
        <v>480</v>
      </c>
      <c r="O29" t="n">
        <v>483</v>
      </c>
      <c r="P29" t="n">
        <v>553</v>
      </c>
      <c r="Q29" t="n">
        <v>505</v>
      </c>
      <c r="R29" t="n">
        <v>2909</v>
      </c>
      <c r="S29" t="n">
        <v>450</v>
      </c>
      <c r="T29" t="n">
        <v>4443</v>
      </c>
      <c r="U29" t="n">
        <v>0</v>
      </c>
      <c r="V29" t="n">
        <v>3434</v>
      </c>
      <c r="W29" t="n">
        <v>0</v>
      </c>
      <c r="X29" t="n">
        <v>377</v>
      </c>
      <c r="Y29" t="n">
        <v>10782</v>
      </c>
      <c r="Z29" t="n">
        <v>5384</v>
      </c>
      <c r="AA29" t="n">
        <v>0</v>
      </c>
      <c r="AB29" t="n">
        <v>4559</v>
      </c>
      <c r="AC29" t="n">
        <v>898</v>
      </c>
      <c r="AD29" t="n">
        <v>16</v>
      </c>
      <c r="AE29" t="n">
        <v>0</v>
      </c>
      <c r="AF29" t="n">
        <v>501</v>
      </c>
      <c r="AG29" t="n">
        <v>34</v>
      </c>
      <c r="AH29" t="n">
        <v>415</v>
      </c>
      <c r="AI29" t="n">
        <v>31259</v>
      </c>
      <c r="AJ29" t="n">
        <v>3907</v>
      </c>
      <c r="AK29" t="n">
        <v>2253</v>
      </c>
      <c r="AL29" t="n">
        <v>6160</v>
      </c>
      <c r="AM29" t="n">
        <v>37419</v>
      </c>
      <c r="AN29" t="n">
        <v>2612</v>
      </c>
      <c r="AO29" t="n">
        <v>0</v>
      </c>
      <c r="AP29" t="n">
        <v>0</v>
      </c>
      <c r="AQ29" t="n">
        <v>7</v>
      </c>
      <c r="AR29" t="n">
        <v>0</v>
      </c>
      <c r="AS29" t="n">
        <v>2619</v>
      </c>
      <c r="AT29" t="n">
        <v>207</v>
      </c>
      <c r="AU29" t="n">
        <v>185</v>
      </c>
      <c r="AV29" t="n">
        <v>109</v>
      </c>
      <c r="AW29" t="n">
        <v>19</v>
      </c>
      <c r="AX29" t="n">
        <v>2</v>
      </c>
      <c r="AY29" t="n">
        <v>522</v>
      </c>
      <c r="AZ29" t="n">
        <v>0</v>
      </c>
      <c r="BA29" t="n">
        <v>528</v>
      </c>
      <c r="BB29" t="n">
        <v>123</v>
      </c>
      <c r="BC29" t="n">
        <v>0</v>
      </c>
      <c r="BD29" t="n">
        <v>0</v>
      </c>
      <c r="BE29" t="n">
        <v>651</v>
      </c>
      <c r="BF29" t="n">
        <v>0</v>
      </c>
      <c r="BG29" t="n">
        <v>0</v>
      </c>
      <c r="BH29" t="n">
        <v>307</v>
      </c>
      <c r="BI29" t="n">
        <v>128</v>
      </c>
      <c r="BJ29" t="n">
        <v>436</v>
      </c>
      <c r="BK29" t="n">
        <v>0</v>
      </c>
      <c r="BL29" t="n">
        <v>5</v>
      </c>
      <c r="BM29" t="n">
        <v>0</v>
      </c>
      <c r="BN29" t="n">
        <v>26</v>
      </c>
      <c r="BO29" t="n">
        <v>5</v>
      </c>
      <c r="BP29" t="n">
        <v>541</v>
      </c>
      <c r="BQ29" t="n">
        <v>1448</v>
      </c>
      <c r="BR29" t="n">
        <v>2099</v>
      </c>
      <c r="BS29" t="n">
        <v>45568</v>
      </c>
    </row>
    <row r="30">
      <c r="A30" t="n">
        <v>2023</v>
      </c>
      <c r="B30" t="inlineStr">
        <is>
          <t>Ouest</t>
        </is>
      </c>
      <c r="C30" t="inlineStr">
        <is>
          <t>Centre-Val de Loire</t>
        </is>
      </c>
      <c r="D30" t="inlineStr">
        <is>
          <t>28</t>
        </is>
      </c>
      <c r="E30" t="inlineStr">
        <is>
          <t>Eure-et-Loir</t>
        </is>
      </c>
      <c r="F30" t="inlineStr">
        <is>
          <t>B</t>
        </is>
      </c>
      <c r="G30" t="n">
        <v>590</v>
      </c>
      <c r="H30" t="n">
        <v>202</v>
      </c>
      <c r="I30" t="n">
        <v>11</v>
      </c>
      <c r="J30" t="n">
        <v>69</v>
      </c>
      <c r="K30" t="n">
        <v>35</v>
      </c>
      <c r="L30" t="n">
        <v>0</v>
      </c>
      <c r="M30" t="n">
        <v>31</v>
      </c>
      <c r="N30" t="n">
        <v>273</v>
      </c>
      <c r="O30" t="n">
        <v>343</v>
      </c>
      <c r="P30" t="n">
        <v>407</v>
      </c>
      <c r="Q30" t="n">
        <v>70</v>
      </c>
      <c r="R30" t="n">
        <v>1829</v>
      </c>
      <c r="S30" t="n">
        <v>761</v>
      </c>
      <c r="T30" t="n">
        <v>1498</v>
      </c>
      <c r="U30" t="n">
        <v>0</v>
      </c>
      <c r="V30" t="n">
        <v>1040</v>
      </c>
      <c r="W30" t="n">
        <v>0</v>
      </c>
      <c r="X30" t="n">
        <v>116</v>
      </c>
      <c r="Y30" t="n">
        <v>8411</v>
      </c>
      <c r="Z30" t="n">
        <v>2649</v>
      </c>
      <c r="AA30" t="n">
        <v>0</v>
      </c>
      <c r="AB30" t="n">
        <v>5178</v>
      </c>
      <c r="AC30" t="n">
        <v>0</v>
      </c>
      <c r="AD30" t="n">
        <v>2</v>
      </c>
      <c r="AE30" t="n">
        <v>0</v>
      </c>
      <c r="AF30" t="n">
        <v>39</v>
      </c>
      <c r="AG30" t="n">
        <v>0</v>
      </c>
      <c r="AH30" t="n">
        <v>333</v>
      </c>
      <c r="AI30" t="n">
        <v>20027</v>
      </c>
      <c r="AJ30" t="n">
        <v>1392</v>
      </c>
      <c r="AK30" t="n">
        <v>15</v>
      </c>
      <c r="AL30" t="n">
        <v>1407</v>
      </c>
      <c r="AM30" t="n">
        <v>21434</v>
      </c>
      <c r="AN30" t="n">
        <v>2096</v>
      </c>
      <c r="AO30" t="n">
        <v>1</v>
      </c>
      <c r="AP30" t="n">
        <v>3</v>
      </c>
      <c r="AQ30" t="n">
        <v>0</v>
      </c>
      <c r="AR30" t="n">
        <v>0</v>
      </c>
      <c r="AS30" t="n">
        <v>2100</v>
      </c>
      <c r="AT30" t="n">
        <v>306</v>
      </c>
      <c r="AU30" t="n">
        <v>0</v>
      </c>
      <c r="AV30" t="n">
        <v>101</v>
      </c>
      <c r="AW30" t="n">
        <v>21</v>
      </c>
      <c r="AX30" t="n">
        <v>50</v>
      </c>
      <c r="AY30" t="n">
        <v>478</v>
      </c>
      <c r="AZ30" t="n">
        <v>89</v>
      </c>
      <c r="BA30" t="n">
        <v>70</v>
      </c>
      <c r="BB30" t="n">
        <v>47</v>
      </c>
      <c r="BC30" t="n">
        <v>0</v>
      </c>
      <c r="BD30" t="n">
        <v>0</v>
      </c>
      <c r="BE30" t="n">
        <v>206</v>
      </c>
      <c r="BF30" t="n">
        <v>528</v>
      </c>
      <c r="BG30" t="n">
        <v>0</v>
      </c>
      <c r="BH30" t="n">
        <v>169</v>
      </c>
      <c r="BI30" t="n">
        <v>179</v>
      </c>
      <c r="BJ30" t="n">
        <v>0</v>
      </c>
      <c r="BK30" t="n">
        <v>4</v>
      </c>
      <c r="BL30" t="n">
        <v>13</v>
      </c>
      <c r="BM30" t="n">
        <v>74</v>
      </c>
      <c r="BN30" t="n">
        <v>272</v>
      </c>
      <c r="BO30" t="n">
        <v>0</v>
      </c>
      <c r="BP30" t="n">
        <v>130</v>
      </c>
      <c r="BQ30" t="n">
        <v>1369</v>
      </c>
      <c r="BR30" t="n">
        <v>1575</v>
      </c>
      <c r="BS30" t="n">
        <v>27416</v>
      </c>
    </row>
    <row r="31">
      <c r="A31" t="n">
        <v>2023</v>
      </c>
      <c r="B31" t="inlineStr">
        <is>
          <t>Ouest</t>
        </is>
      </c>
      <c r="C31" t="inlineStr">
        <is>
          <t>Bretagne</t>
        </is>
      </c>
      <c r="D31" t="inlineStr">
        <is>
          <t>29</t>
        </is>
      </c>
      <c r="E31" t="inlineStr">
        <is>
          <t>Finist�re</t>
        </is>
      </c>
      <c r="F31" t="inlineStr">
        <is>
          <t>A</t>
        </is>
      </c>
      <c r="G31" t="n">
        <v>1145</v>
      </c>
      <c r="H31" t="n">
        <v>368</v>
      </c>
      <c r="I31" t="n">
        <v>29</v>
      </c>
      <c r="J31" t="n">
        <v>29</v>
      </c>
      <c r="K31" t="n">
        <v>21</v>
      </c>
      <c r="L31" t="n">
        <v>12</v>
      </c>
      <c r="M31" t="n">
        <v>45</v>
      </c>
      <c r="N31" t="n">
        <v>660</v>
      </c>
      <c r="O31" t="n">
        <v>527</v>
      </c>
      <c r="P31" t="n">
        <v>296</v>
      </c>
      <c r="Q31" t="n">
        <v>1022</v>
      </c>
      <c r="R31" t="n">
        <v>3786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2735</v>
      </c>
      <c r="AA31" t="n">
        <v>0</v>
      </c>
      <c r="AB31" t="n">
        <v>0</v>
      </c>
      <c r="AC31" t="n">
        <v>776</v>
      </c>
      <c r="AD31" t="n">
        <v>40</v>
      </c>
      <c r="AE31" t="n">
        <v>126</v>
      </c>
      <c r="AF31" t="n">
        <v>88</v>
      </c>
      <c r="AG31" t="n">
        <v>73</v>
      </c>
      <c r="AH31" t="n">
        <v>35258</v>
      </c>
      <c r="AI31" t="n">
        <v>39023</v>
      </c>
      <c r="AJ31" t="n">
        <v>0</v>
      </c>
      <c r="AK31" t="n">
        <v>49</v>
      </c>
      <c r="AL31" t="n">
        <v>49</v>
      </c>
      <c r="AM31" t="n">
        <v>39072</v>
      </c>
      <c r="AN31" t="n">
        <v>3207</v>
      </c>
      <c r="AO31" t="n">
        <v>8</v>
      </c>
      <c r="AP31" t="n">
        <v>1</v>
      </c>
      <c r="AQ31" t="n">
        <v>65</v>
      </c>
      <c r="AR31" t="n">
        <v>0</v>
      </c>
      <c r="AS31" t="n">
        <v>3281</v>
      </c>
      <c r="AT31" t="n">
        <v>340</v>
      </c>
      <c r="AU31" t="n">
        <v>51</v>
      </c>
      <c r="AV31" t="n">
        <v>0</v>
      </c>
      <c r="AW31" t="n">
        <v>83</v>
      </c>
      <c r="AX31" t="n">
        <v>0</v>
      </c>
      <c r="AY31" t="n">
        <v>474</v>
      </c>
      <c r="AZ31" t="n">
        <v>579</v>
      </c>
      <c r="BA31" t="n">
        <v>243</v>
      </c>
      <c r="BB31" t="n">
        <v>228</v>
      </c>
      <c r="BC31" t="n">
        <v>0</v>
      </c>
      <c r="BD31" t="n">
        <v>0</v>
      </c>
      <c r="BE31" t="n">
        <v>1050</v>
      </c>
      <c r="BF31" t="n">
        <v>8</v>
      </c>
      <c r="BG31" t="n">
        <v>0</v>
      </c>
      <c r="BH31" t="n">
        <v>492</v>
      </c>
      <c r="BI31" t="n">
        <v>318</v>
      </c>
      <c r="BJ31" t="n">
        <v>1510</v>
      </c>
      <c r="BK31" t="n">
        <v>58</v>
      </c>
      <c r="BL31" t="n">
        <v>5</v>
      </c>
      <c r="BM31" t="n">
        <v>0</v>
      </c>
      <c r="BN31" t="n">
        <v>0</v>
      </c>
      <c r="BO31" t="n">
        <v>1</v>
      </c>
      <c r="BP31" t="n">
        <v>3603</v>
      </c>
      <c r="BQ31" t="n">
        <v>5995</v>
      </c>
      <c r="BR31" t="n">
        <v>7045</v>
      </c>
      <c r="BS31" t="n">
        <v>53658</v>
      </c>
    </row>
    <row r="32">
      <c r="A32" t="n">
        <v>2023</v>
      </c>
      <c r="B32" t="inlineStr">
        <is>
          <t>Sud</t>
        </is>
      </c>
      <c r="C32" t="inlineStr">
        <is>
          <t>Corse</t>
        </is>
      </c>
      <c r="D32" t="inlineStr">
        <is>
          <t>2a</t>
        </is>
      </c>
      <c r="E32" t="inlineStr">
        <is>
          <t>Corse-du-Sud</t>
        </is>
      </c>
      <c r="F32" t="inlineStr">
        <is>
          <t>C</t>
        </is>
      </c>
      <c r="G32" t="n">
        <v>170</v>
      </c>
      <c r="H32" t="n">
        <v>0</v>
      </c>
      <c r="I32" t="n">
        <v>0</v>
      </c>
      <c r="J32" t="n">
        <v>25</v>
      </c>
      <c r="K32" t="n">
        <v>9</v>
      </c>
      <c r="L32" t="n">
        <v>0</v>
      </c>
      <c r="M32" t="n">
        <v>0</v>
      </c>
      <c r="N32" t="n">
        <v>214</v>
      </c>
      <c r="O32" t="n">
        <v>163</v>
      </c>
      <c r="P32" t="n">
        <v>295</v>
      </c>
      <c r="Q32" t="n">
        <v>392</v>
      </c>
      <c r="R32" t="n">
        <v>1268</v>
      </c>
      <c r="S32" t="n">
        <v>140</v>
      </c>
      <c r="T32" t="n">
        <v>1533</v>
      </c>
      <c r="U32" t="n">
        <v>136</v>
      </c>
      <c r="V32" t="n">
        <v>1269</v>
      </c>
      <c r="W32" t="n">
        <v>89</v>
      </c>
      <c r="X32" t="n">
        <v>0</v>
      </c>
      <c r="Y32" t="n">
        <v>1452</v>
      </c>
      <c r="Z32" t="n">
        <v>3061</v>
      </c>
      <c r="AA32" t="n">
        <v>136</v>
      </c>
      <c r="AB32" t="n">
        <v>48</v>
      </c>
      <c r="AC32" t="n">
        <v>174</v>
      </c>
      <c r="AD32" t="n">
        <v>2</v>
      </c>
      <c r="AE32" t="n">
        <v>59</v>
      </c>
      <c r="AF32" t="n">
        <v>9</v>
      </c>
      <c r="AG32" t="n">
        <v>9</v>
      </c>
      <c r="AH32" t="n">
        <v>4857</v>
      </c>
      <c r="AI32" t="n">
        <v>12965</v>
      </c>
      <c r="AJ32" t="n">
        <v>771</v>
      </c>
      <c r="AK32" t="n">
        <v>42</v>
      </c>
      <c r="AL32" t="n">
        <v>813</v>
      </c>
      <c r="AM32" t="n">
        <v>13778</v>
      </c>
      <c r="AN32" t="n">
        <v>1226</v>
      </c>
      <c r="AO32" t="n">
        <v>0</v>
      </c>
      <c r="AP32" t="n">
        <v>2</v>
      </c>
      <c r="AQ32" t="n">
        <v>20</v>
      </c>
      <c r="AR32" t="n">
        <v>0</v>
      </c>
      <c r="AS32" t="n">
        <v>1248</v>
      </c>
      <c r="AT32" t="n">
        <v>90</v>
      </c>
      <c r="AU32" t="n">
        <v>41</v>
      </c>
      <c r="AV32" t="n">
        <v>22</v>
      </c>
      <c r="AW32" t="n">
        <v>3</v>
      </c>
      <c r="AX32" t="n">
        <v>4</v>
      </c>
      <c r="AY32" t="n">
        <v>160</v>
      </c>
      <c r="AZ32" t="n">
        <v>0</v>
      </c>
      <c r="BA32" t="n">
        <v>121</v>
      </c>
      <c r="BB32" t="n">
        <v>14</v>
      </c>
      <c r="BC32" t="n">
        <v>50</v>
      </c>
      <c r="BD32" t="n">
        <v>0</v>
      </c>
      <c r="BE32" t="n">
        <v>185</v>
      </c>
      <c r="BF32" t="n">
        <v>0</v>
      </c>
      <c r="BG32" t="n">
        <v>0</v>
      </c>
      <c r="BH32" t="n">
        <v>149</v>
      </c>
      <c r="BI32" t="n">
        <v>29</v>
      </c>
      <c r="BJ32" t="n">
        <v>0</v>
      </c>
      <c r="BK32" t="n">
        <v>2</v>
      </c>
      <c r="BL32" t="n">
        <v>2</v>
      </c>
      <c r="BM32" t="n">
        <v>50</v>
      </c>
      <c r="BN32" t="n">
        <v>88</v>
      </c>
      <c r="BO32" t="n">
        <v>3</v>
      </c>
      <c r="BP32" t="n">
        <v>543</v>
      </c>
      <c r="BQ32" t="n">
        <v>866</v>
      </c>
      <c r="BR32" t="n">
        <v>1051</v>
      </c>
      <c r="BS32" t="n">
        <v>17505</v>
      </c>
    </row>
    <row r="33">
      <c r="A33" t="n">
        <v>2023</v>
      </c>
      <c r="B33" t="inlineStr">
        <is>
          <t>Sud</t>
        </is>
      </c>
      <c r="C33" t="inlineStr">
        <is>
          <t>Corse</t>
        </is>
      </c>
      <c r="D33" t="inlineStr">
        <is>
          <t>2b</t>
        </is>
      </c>
      <c r="E33" t="inlineStr">
        <is>
          <t>Haute-Corse</t>
        </is>
      </c>
      <c r="F33" t="inlineStr">
        <is>
          <t>C</t>
        </is>
      </c>
      <c r="G33" t="n">
        <v>154</v>
      </c>
      <c r="H33" t="n">
        <v>0</v>
      </c>
      <c r="I33" t="n">
        <v>7</v>
      </c>
      <c r="J33" t="n">
        <v>12</v>
      </c>
      <c r="K33" t="n">
        <v>6</v>
      </c>
      <c r="L33" t="n">
        <v>0</v>
      </c>
      <c r="M33" t="n">
        <v>10</v>
      </c>
      <c r="N33" t="n">
        <v>406</v>
      </c>
      <c r="O33" t="n">
        <v>222</v>
      </c>
      <c r="P33" t="n">
        <v>853</v>
      </c>
      <c r="Q33" t="n">
        <v>143</v>
      </c>
      <c r="R33" t="n">
        <v>1813</v>
      </c>
      <c r="S33" t="n">
        <v>296</v>
      </c>
      <c r="T33" t="n">
        <v>17</v>
      </c>
      <c r="U33" t="n">
        <v>388</v>
      </c>
      <c r="V33" t="n">
        <v>68</v>
      </c>
      <c r="W33" t="n">
        <v>43</v>
      </c>
      <c r="X33" t="n">
        <v>34</v>
      </c>
      <c r="Y33" t="n">
        <v>2590</v>
      </c>
      <c r="Z33" t="n">
        <v>2913</v>
      </c>
      <c r="AA33" t="n">
        <v>0</v>
      </c>
      <c r="AB33" t="n">
        <v>2528</v>
      </c>
      <c r="AC33" t="n">
        <v>62</v>
      </c>
      <c r="AD33" t="n">
        <v>3</v>
      </c>
      <c r="AE33" t="n">
        <v>68</v>
      </c>
      <c r="AF33" t="n">
        <v>10</v>
      </c>
      <c r="AG33" t="n">
        <v>0</v>
      </c>
      <c r="AH33" t="n">
        <v>4157</v>
      </c>
      <c r="AI33" t="n">
        <v>13177</v>
      </c>
      <c r="AJ33" t="n">
        <v>192</v>
      </c>
      <c r="AK33" t="n">
        <v>14</v>
      </c>
      <c r="AL33" t="n">
        <v>206</v>
      </c>
      <c r="AM33" t="n">
        <v>13383</v>
      </c>
      <c r="AN33" t="n">
        <v>1137</v>
      </c>
      <c r="AO33" t="n">
        <v>0</v>
      </c>
      <c r="AP33" t="n">
        <v>0</v>
      </c>
      <c r="AQ33" t="n">
        <v>3</v>
      </c>
      <c r="AR33" t="n">
        <v>0</v>
      </c>
      <c r="AS33" t="n">
        <v>1140</v>
      </c>
      <c r="AT33" t="n">
        <v>63</v>
      </c>
      <c r="AU33" t="n">
        <v>1</v>
      </c>
      <c r="AV33" t="n">
        <v>2</v>
      </c>
      <c r="AW33" t="n">
        <v>7</v>
      </c>
      <c r="AX33" t="n">
        <v>0</v>
      </c>
      <c r="AY33" t="n">
        <v>73</v>
      </c>
      <c r="AZ33" t="n">
        <v>21</v>
      </c>
      <c r="BA33" t="n">
        <v>127</v>
      </c>
      <c r="BB33" t="n">
        <v>33</v>
      </c>
      <c r="BC33" t="n">
        <v>0</v>
      </c>
      <c r="BD33" t="n">
        <v>1</v>
      </c>
      <c r="BE33" t="n">
        <v>182</v>
      </c>
      <c r="BF33" t="n">
        <v>349</v>
      </c>
      <c r="BG33" t="n">
        <v>0</v>
      </c>
      <c r="BH33" t="n">
        <v>128</v>
      </c>
      <c r="BI33" t="n">
        <v>29</v>
      </c>
      <c r="BJ33" t="n">
        <v>62</v>
      </c>
      <c r="BK33" t="n">
        <v>20</v>
      </c>
      <c r="BL33" t="n">
        <v>7</v>
      </c>
      <c r="BM33" t="n">
        <v>210</v>
      </c>
      <c r="BN33" t="n">
        <v>0</v>
      </c>
      <c r="BO33" t="n">
        <v>23</v>
      </c>
      <c r="BP33" t="n">
        <v>437</v>
      </c>
      <c r="BQ33" t="n">
        <v>1265</v>
      </c>
      <c r="BR33" t="n">
        <v>1447</v>
      </c>
      <c r="BS33" t="n">
        <v>17856</v>
      </c>
    </row>
    <row r="34">
      <c r="A34" t="n">
        <v>2023</v>
      </c>
      <c r="B34" t="inlineStr">
        <is>
          <t>Sud</t>
        </is>
      </c>
      <c r="C34" t="inlineStr">
        <is>
          <t>Occitanie</t>
        </is>
      </c>
      <c r="D34" t="inlineStr">
        <is>
          <t>30</t>
        </is>
      </c>
      <c r="E34" t="inlineStr">
        <is>
          <t>Gard</t>
        </is>
      </c>
      <c r="F34" t="inlineStr">
        <is>
          <t>B</t>
        </is>
      </c>
      <c r="G34" t="n">
        <v>735</v>
      </c>
      <c r="H34" t="n">
        <v>210</v>
      </c>
      <c r="I34" t="n">
        <v>52</v>
      </c>
      <c r="J34" t="n">
        <v>39</v>
      </c>
      <c r="K34" t="n">
        <v>48</v>
      </c>
      <c r="L34" t="n">
        <v>0</v>
      </c>
      <c r="M34" t="n">
        <v>23</v>
      </c>
      <c r="N34" t="n">
        <v>683</v>
      </c>
      <c r="O34" t="n">
        <v>596</v>
      </c>
      <c r="P34" t="n">
        <v>1289</v>
      </c>
      <c r="Q34" t="n">
        <v>0</v>
      </c>
      <c r="R34" t="n">
        <v>3465</v>
      </c>
      <c r="S34" t="n">
        <v>1245</v>
      </c>
      <c r="T34" t="n">
        <v>0</v>
      </c>
      <c r="U34" t="n">
        <v>249</v>
      </c>
      <c r="V34" t="n">
        <v>14289</v>
      </c>
      <c r="W34" t="n">
        <v>0</v>
      </c>
      <c r="X34" t="n">
        <v>0</v>
      </c>
      <c r="Y34" t="n">
        <v>8544</v>
      </c>
      <c r="Z34" t="n">
        <v>15932</v>
      </c>
      <c r="AA34" t="n">
        <v>0</v>
      </c>
      <c r="AB34" t="n">
        <v>5044</v>
      </c>
      <c r="AC34" t="n">
        <v>1328</v>
      </c>
      <c r="AD34" t="n">
        <v>15</v>
      </c>
      <c r="AE34" t="n">
        <v>18</v>
      </c>
      <c r="AF34" t="n">
        <v>54</v>
      </c>
      <c r="AG34" t="n">
        <v>0</v>
      </c>
      <c r="AH34" t="n">
        <v>0</v>
      </c>
      <c r="AI34" t="n">
        <v>46718</v>
      </c>
      <c r="AJ34" t="n">
        <v>5448</v>
      </c>
      <c r="AK34" t="n">
        <v>37</v>
      </c>
      <c r="AL34" t="n">
        <v>5485</v>
      </c>
      <c r="AM34" t="n">
        <v>52203</v>
      </c>
      <c r="AN34" t="n">
        <v>3391</v>
      </c>
      <c r="AO34" t="n">
        <v>1</v>
      </c>
      <c r="AP34" t="n">
        <v>5</v>
      </c>
      <c r="AQ34" t="n">
        <v>5</v>
      </c>
      <c r="AR34" t="n">
        <v>0</v>
      </c>
      <c r="AS34" t="n">
        <v>3402</v>
      </c>
      <c r="AT34" t="n">
        <v>709</v>
      </c>
      <c r="AU34" t="n">
        <v>0</v>
      </c>
      <c r="AV34" t="n">
        <v>0</v>
      </c>
      <c r="AW34" t="n">
        <v>14</v>
      </c>
      <c r="AX34" t="n">
        <v>0</v>
      </c>
      <c r="AY34" t="n">
        <v>723</v>
      </c>
      <c r="AZ34" t="n">
        <v>0</v>
      </c>
      <c r="BA34" t="n">
        <v>119</v>
      </c>
      <c r="BB34" t="n">
        <v>2826</v>
      </c>
      <c r="BC34" t="n">
        <v>0</v>
      </c>
      <c r="BD34" t="n">
        <v>0</v>
      </c>
      <c r="BE34" t="n">
        <v>2945</v>
      </c>
      <c r="BF34" t="n">
        <v>158</v>
      </c>
      <c r="BG34" t="n">
        <v>0</v>
      </c>
      <c r="BH34" t="n">
        <v>9999</v>
      </c>
      <c r="BI34" t="n">
        <v>0</v>
      </c>
      <c r="BJ34" t="n">
        <v>484</v>
      </c>
      <c r="BK34" t="n">
        <v>0</v>
      </c>
      <c r="BL34" t="n">
        <v>6</v>
      </c>
      <c r="BM34" t="n">
        <v>0</v>
      </c>
      <c r="BN34" t="n">
        <v>0</v>
      </c>
      <c r="BO34" t="n">
        <v>11</v>
      </c>
      <c r="BP34" t="n">
        <v>386</v>
      </c>
      <c r="BQ34" t="n">
        <v>11044</v>
      </c>
      <c r="BR34" t="n">
        <v>13989</v>
      </c>
      <c r="BS34" t="n">
        <v>73782</v>
      </c>
    </row>
    <row r="35">
      <c r="A35" t="n">
        <v>2023</v>
      </c>
      <c r="B35" t="inlineStr">
        <is>
          <t>Sud</t>
        </is>
      </c>
      <c r="C35" t="inlineStr">
        <is>
          <t>Occitanie</t>
        </is>
      </c>
      <c r="D35" t="inlineStr">
        <is>
          <t>31</t>
        </is>
      </c>
      <c r="E35" t="inlineStr">
        <is>
          <t>Haute-Garonne</t>
        </is>
      </c>
      <c r="F35" t="inlineStr">
        <is>
          <t>A</t>
        </is>
      </c>
      <c r="G35" t="n">
        <v>924</v>
      </c>
      <c r="H35" t="n">
        <v>242</v>
      </c>
      <c r="I35" t="n">
        <v>32</v>
      </c>
      <c r="J35" t="n">
        <v>48</v>
      </c>
      <c r="K35" t="n">
        <v>33</v>
      </c>
      <c r="L35" t="n">
        <v>19</v>
      </c>
      <c r="M35" t="n">
        <v>24</v>
      </c>
      <c r="N35" t="n">
        <v>667</v>
      </c>
      <c r="O35" t="n">
        <v>884</v>
      </c>
      <c r="P35" t="n">
        <v>647</v>
      </c>
      <c r="Q35" t="n">
        <v>1727</v>
      </c>
      <c r="R35" t="n">
        <v>5005</v>
      </c>
      <c r="S35" t="n">
        <v>557</v>
      </c>
      <c r="T35" t="n">
        <v>4544</v>
      </c>
      <c r="U35" t="n">
        <v>833</v>
      </c>
      <c r="V35" t="n">
        <v>4026</v>
      </c>
      <c r="W35" t="n">
        <v>18</v>
      </c>
      <c r="X35" t="n">
        <v>549</v>
      </c>
      <c r="Y35" t="n">
        <v>15907</v>
      </c>
      <c r="Z35" t="n">
        <v>9092</v>
      </c>
      <c r="AA35" t="n">
        <v>134</v>
      </c>
      <c r="AB35" t="n">
        <v>5517</v>
      </c>
      <c r="AC35" t="n">
        <v>412</v>
      </c>
      <c r="AD35" t="n">
        <v>51</v>
      </c>
      <c r="AE35" t="n">
        <v>0</v>
      </c>
      <c r="AF35" t="n">
        <v>937</v>
      </c>
      <c r="AG35" t="n">
        <v>107</v>
      </c>
      <c r="AH35" t="n">
        <v>0</v>
      </c>
      <c r="AI35" t="n">
        <v>42577</v>
      </c>
      <c r="AJ35" t="n">
        <v>274</v>
      </c>
      <c r="AK35" t="n">
        <v>13</v>
      </c>
      <c r="AL35" t="n">
        <v>287</v>
      </c>
      <c r="AM35" t="n">
        <v>42864</v>
      </c>
      <c r="AN35" t="n">
        <v>5244</v>
      </c>
      <c r="AO35" t="n">
        <v>4</v>
      </c>
      <c r="AP35" t="n">
        <v>0</v>
      </c>
      <c r="AQ35" t="n">
        <v>0</v>
      </c>
      <c r="AR35" t="n">
        <v>0</v>
      </c>
      <c r="AS35" t="n">
        <v>5248</v>
      </c>
      <c r="AT35" t="n">
        <v>584</v>
      </c>
      <c r="AU35" t="n">
        <v>280</v>
      </c>
      <c r="AV35" t="n">
        <v>82</v>
      </c>
      <c r="AW35" t="n">
        <v>27</v>
      </c>
      <c r="AX35" t="n">
        <v>0</v>
      </c>
      <c r="AY35" t="n">
        <v>973</v>
      </c>
      <c r="AZ35" t="n">
        <v>428</v>
      </c>
      <c r="BA35" t="n">
        <v>901</v>
      </c>
      <c r="BB35" t="n">
        <v>215</v>
      </c>
      <c r="BC35" t="n">
        <v>0</v>
      </c>
      <c r="BD35" t="n">
        <v>0</v>
      </c>
      <c r="BE35" t="n">
        <v>1544</v>
      </c>
      <c r="BF35" t="n">
        <v>0</v>
      </c>
      <c r="BG35" t="n">
        <v>0</v>
      </c>
      <c r="BH35" t="n">
        <v>618</v>
      </c>
      <c r="BI35" t="n">
        <v>50</v>
      </c>
      <c r="BJ35" t="n">
        <v>0</v>
      </c>
      <c r="BK35" t="n">
        <v>0</v>
      </c>
      <c r="BL35" t="n">
        <v>5</v>
      </c>
      <c r="BM35" t="n">
        <v>141</v>
      </c>
      <c r="BN35" t="n">
        <v>1</v>
      </c>
      <c r="BO35" t="n">
        <v>69</v>
      </c>
      <c r="BP35" t="n">
        <v>1945</v>
      </c>
      <c r="BQ35" t="n">
        <v>2829</v>
      </c>
      <c r="BR35" t="n">
        <v>4373</v>
      </c>
      <c r="BS35" t="n">
        <v>58463</v>
      </c>
    </row>
    <row r="36">
      <c r="A36" t="n">
        <v>2023</v>
      </c>
      <c r="B36" t="inlineStr">
        <is>
          <t>Sud</t>
        </is>
      </c>
      <c r="C36" t="inlineStr">
        <is>
          <t>Occitanie</t>
        </is>
      </c>
      <c r="D36" t="inlineStr">
        <is>
          <t>32</t>
        </is>
      </c>
      <c r="E36" t="inlineStr">
        <is>
          <t>Gers</t>
        </is>
      </c>
      <c r="F36" t="inlineStr">
        <is>
          <t>C</t>
        </is>
      </c>
      <c r="G36" t="n">
        <v>207</v>
      </c>
      <c r="H36" t="n">
        <v>121</v>
      </c>
      <c r="I36" t="n">
        <v>5</v>
      </c>
      <c r="J36" t="n">
        <v>12</v>
      </c>
      <c r="K36" t="n">
        <v>4</v>
      </c>
      <c r="L36" t="n">
        <v>0</v>
      </c>
      <c r="M36" t="n">
        <v>23</v>
      </c>
      <c r="N36" t="n">
        <v>55</v>
      </c>
      <c r="O36" t="n">
        <v>99</v>
      </c>
      <c r="P36" t="n">
        <v>241</v>
      </c>
      <c r="Q36" t="n">
        <v>226</v>
      </c>
      <c r="R36" t="n">
        <v>872</v>
      </c>
      <c r="S36" t="n">
        <v>42</v>
      </c>
      <c r="T36" t="n">
        <v>840</v>
      </c>
      <c r="U36" t="n">
        <v>0</v>
      </c>
      <c r="V36" t="n">
        <v>948</v>
      </c>
      <c r="W36" t="n">
        <v>0</v>
      </c>
      <c r="X36" t="n">
        <v>33</v>
      </c>
      <c r="Y36" t="n">
        <v>1688</v>
      </c>
      <c r="Z36" t="n">
        <v>1316</v>
      </c>
      <c r="AA36" t="n">
        <v>0</v>
      </c>
      <c r="AB36" t="n">
        <v>795</v>
      </c>
      <c r="AC36" t="n">
        <v>239</v>
      </c>
      <c r="AD36" t="n">
        <v>15</v>
      </c>
      <c r="AE36" t="n">
        <v>0</v>
      </c>
      <c r="AF36" t="n">
        <v>55</v>
      </c>
      <c r="AG36" t="n">
        <v>0</v>
      </c>
      <c r="AH36" t="n">
        <v>1807</v>
      </c>
      <c r="AI36" t="n">
        <v>7778</v>
      </c>
      <c r="AJ36" t="n">
        <v>1272</v>
      </c>
      <c r="AK36" t="n">
        <v>2</v>
      </c>
      <c r="AL36" t="n">
        <v>1274</v>
      </c>
      <c r="AM36" t="n">
        <v>9052</v>
      </c>
      <c r="AN36" t="n">
        <v>985</v>
      </c>
      <c r="AO36" t="n">
        <v>1</v>
      </c>
      <c r="AP36" t="n">
        <v>1</v>
      </c>
      <c r="AQ36" t="n">
        <v>0</v>
      </c>
      <c r="AR36" t="n">
        <v>0</v>
      </c>
      <c r="AS36" t="n">
        <v>987</v>
      </c>
      <c r="AT36" t="n">
        <v>57</v>
      </c>
      <c r="AU36" t="n">
        <v>59</v>
      </c>
      <c r="AV36" t="n">
        <v>61</v>
      </c>
      <c r="AW36" t="n">
        <v>9</v>
      </c>
      <c r="AX36" t="n">
        <v>0</v>
      </c>
      <c r="AY36" t="n">
        <v>186</v>
      </c>
      <c r="AZ36" t="n">
        <v>562</v>
      </c>
      <c r="BA36" t="n">
        <v>19</v>
      </c>
      <c r="BB36" t="n">
        <v>410</v>
      </c>
      <c r="BC36" t="n">
        <v>0</v>
      </c>
      <c r="BD36" t="n">
        <v>0</v>
      </c>
      <c r="BE36" t="n">
        <v>991</v>
      </c>
      <c r="BF36" t="n">
        <v>4</v>
      </c>
      <c r="BG36" t="n">
        <v>0</v>
      </c>
      <c r="BH36" t="n">
        <v>217</v>
      </c>
      <c r="BI36" t="n">
        <v>217</v>
      </c>
      <c r="BJ36" t="n">
        <v>171</v>
      </c>
      <c r="BK36" t="n">
        <v>0</v>
      </c>
      <c r="BL36" t="n">
        <v>9</v>
      </c>
      <c r="BM36" t="n">
        <v>56</v>
      </c>
      <c r="BN36" t="n">
        <v>59</v>
      </c>
      <c r="BO36" t="n">
        <v>0</v>
      </c>
      <c r="BP36" t="n">
        <v>1740</v>
      </c>
      <c r="BQ36" t="n">
        <v>2473</v>
      </c>
      <c r="BR36" t="n">
        <v>3464</v>
      </c>
      <c r="BS36" t="n">
        <v>14561</v>
      </c>
    </row>
    <row r="37">
      <c r="A37" t="n">
        <v>2023</v>
      </c>
      <c r="B37" t="inlineStr">
        <is>
          <t>Sud-ouest</t>
        </is>
      </c>
      <c r="C37" t="inlineStr">
        <is>
          <t>Nouvelle-Aquitaine</t>
        </is>
      </c>
      <c r="D37" t="inlineStr">
        <is>
          <t>33</t>
        </is>
      </c>
      <c r="E37" t="inlineStr">
        <is>
          <t>Gironde</t>
        </is>
      </c>
      <c r="F37" t="inlineStr">
        <is>
          <t>A</t>
        </is>
      </c>
      <c r="G37" t="n">
        <v>1200</v>
      </c>
      <c r="H37" t="n">
        <v>0</v>
      </c>
      <c r="I37" t="n">
        <v>192</v>
      </c>
      <c r="J37" t="n">
        <v>0</v>
      </c>
      <c r="K37" t="n">
        <v>388</v>
      </c>
      <c r="L37" t="n">
        <v>0</v>
      </c>
      <c r="M37" t="n">
        <v>0</v>
      </c>
      <c r="N37" t="n">
        <v>1488</v>
      </c>
      <c r="O37" t="n">
        <v>1259</v>
      </c>
      <c r="P37" t="n">
        <v>313</v>
      </c>
      <c r="Q37" t="n">
        <v>1413</v>
      </c>
      <c r="R37" t="n">
        <v>6253</v>
      </c>
      <c r="S37" t="n">
        <v>1606</v>
      </c>
      <c r="T37" t="n">
        <v>12319</v>
      </c>
      <c r="U37" t="n">
        <v>0</v>
      </c>
      <c r="V37" t="n">
        <v>8941</v>
      </c>
      <c r="W37" t="n">
        <v>0</v>
      </c>
      <c r="X37" t="n">
        <v>0</v>
      </c>
      <c r="Y37" t="n">
        <v>51194</v>
      </c>
      <c r="Z37" t="n">
        <v>9010</v>
      </c>
      <c r="AA37" t="n">
        <v>0</v>
      </c>
      <c r="AB37" t="n">
        <v>10845</v>
      </c>
      <c r="AC37" t="n">
        <v>2335</v>
      </c>
      <c r="AD37" t="n">
        <v>57</v>
      </c>
      <c r="AE37" t="n">
        <v>59</v>
      </c>
      <c r="AF37" t="n">
        <v>181</v>
      </c>
      <c r="AG37" t="n">
        <v>129</v>
      </c>
      <c r="AH37" t="n">
        <v>153</v>
      </c>
      <c r="AI37" t="n">
        <v>96700</v>
      </c>
      <c r="AJ37" t="n">
        <v>10111</v>
      </c>
      <c r="AK37" t="n">
        <v>56</v>
      </c>
      <c r="AL37" t="n">
        <v>10167</v>
      </c>
      <c r="AM37" t="n">
        <v>106867</v>
      </c>
      <c r="AN37" t="n">
        <v>6553</v>
      </c>
      <c r="AO37" t="n">
        <v>3</v>
      </c>
      <c r="AP37" t="n">
        <v>2</v>
      </c>
      <c r="AQ37" t="n">
        <v>0</v>
      </c>
      <c r="AR37" t="n">
        <v>0</v>
      </c>
      <c r="AS37" t="n">
        <v>6558</v>
      </c>
      <c r="AT37" t="n">
        <v>1163</v>
      </c>
      <c r="AU37" t="n">
        <v>420</v>
      </c>
      <c r="AV37" t="n">
        <v>831</v>
      </c>
      <c r="AW37" t="n">
        <v>17</v>
      </c>
      <c r="AX37" t="n">
        <v>0</v>
      </c>
      <c r="AY37" t="n">
        <v>2431</v>
      </c>
      <c r="AZ37" t="n">
        <v>1357</v>
      </c>
      <c r="BA37" t="n">
        <v>1</v>
      </c>
      <c r="BB37" t="n">
        <v>0</v>
      </c>
      <c r="BC37" t="n">
        <v>7</v>
      </c>
      <c r="BD37" t="n">
        <v>21</v>
      </c>
      <c r="BE37" t="n">
        <v>1386</v>
      </c>
      <c r="BF37" t="n">
        <v>6757</v>
      </c>
      <c r="BG37" t="n">
        <v>643</v>
      </c>
      <c r="BH37" t="n">
        <v>559</v>
      </c>
      <c r="BI37" t="n">
        <v>17</v>
      </c>
      <c r="BJ37" t="n">
        <v>19</v>
      </c>
      <c r="BK37" t="n">
        <v>3</v>
      </c>
      <c r="BL37" t="n">
        <v>85</v>
      </c>
      <c r="BM37" t="n">
        <v>427</v>
      </c>
      <c r="BN37" t="n">
        <v>0</v>
      </c>
      <c r="BO37" t="n">
        <v>53</v>
      </c>
      <c r="BP37" t="n">
        <v>1309</v>
      </c>
      <c r="BQ37" t="n">
        <v>9229</v>
      </c>
      <c r="BR37" t="n">
        <v>10615</v>
      </c>
      <c r="BS37" t="n">
        <v>132724</v>
      </c>
    </row>
    <row r="38">
      <c r="A38" t="n">
        <v>2023</v>
      </c>
      <c r="B38" t="inlineStr">
        <is>
          <t>Sud</t>
        </is>
      </c>
      <c r="C38" t="inlineStr">
        <is>
          <t>Occitanie</t>
        </is>
      </c>
      <c r="D38" t="inlineStr">
        <is>
          <t>34</t>
        </is>
      </c>
      <c r="E38" t="inlineStr">
        <is>
          <t>H�rault</t>
        </is>
      </c>
      <c r="F38" t="inlineStr">
        <is>
          <t>A</t>
        </is>
      </c>
      <c r="G38" t="n">
        <v>637</v>
      </c>
      <c r="H38" t="n">
        <v>153</v>
      </c>
      <c r="I38" t="n">
        <v>21</v>
      </c>
      <c r="J38" t="n">
        <v>41</v>
      </c>
      <c r="K38" t="n">
        <v>30</v>
      </c>
      <c r="L38" t="n">
        <v>0</v>
      </c>
      <c r="M38" t="n">
        <v>8</v>
      </c>
      <c r="N38" t="n">
        <v>630</v>
      </c>
      <c r="O38" t="n">
        <v>854</v>
      </c>
      <c r="P38" t="n">
        <v>1634</v>
      </c>
      <c r="Q38" t="n">
        <v>1539</v>
      </c>
      <c r="R38" t="n">
        <v>5394</v>
      </c>
      <c r="S38" t="n">
        <v>521</v>
      </c>
      <c r="T38" t="n">
        <v>13098</v>
      </c>
      <c r="U38" t="n">
        <v>831</v>
      </c>
      <c r="V38" t="n">
        <v>4</v>
      </c>
      <c r="W38" t="n">
        <v>0</v>
      </c>
      <c r="X38" t="n">
        <v>0</v>
      </c>
      <c r="Y38" t="n">
        <v>2491</v>
      </c>
      <c r="Z38" t="n">
        <v>1818</v>
      </c>
      <c r="AA38" t="n">
        <v>0</v>
      </c>
      <c r="AB38" t="n">
        <v>23526</v>
      </c>
      <c r="AC38" t="n">
        <v>841</v>
      </c>
      <c r="AD38" t="n">
        <v>171</v>
      </c>
      <c r="AE38" t="n">
        <v>0</v>
      </c>
      <c r="AF38" t="n">
        <v>1911</v>
      </c>
      <c r="AG38" t="n">
        <v>0</v>
      </c>
      <c r="AH38" t="n">
        <v>6735</v>
      </c>
      <c r="AI38" t="n">
        <v>51947</v>
      </c>
      <c r="AJ38" t="n">
        <v>5358</v>
      </c>
      <c r="AK38" t="n">
        <v>1932</v>
      </c>
      <c r="AL38" t="n">
        <v>7290</v>
      </c>
      <c r="AM38" t="n">
        <v>59237</v>
      </c>
      <c r="AN38" t="n">
        <v>4994</v>
      </c>
      <c r="AO38" t="n">
        <v>0</v>
      </c>
      <c r="AP38" t="n">
        <v>1</v>
      </c>
      <c r="AQ38" t="n">
        <v>14</v>
      </c>
      <c r="AR38" t="n">
        <v>0</v>
      </c>
      <c r="AS38" t="n">
        <v>5009</v>
      </c>
      <c r="AT38" t="n">
        <v>245</v>
      </c>
      <c r="AU38" t="n">
        <v>395</v>
      </c>
      <c r="AV38" t="n">
        <v>190</v>
      </c>
      <c r="AW38" t="n">
        <v>32</v>
      </c>
      <c r="AX38" t="n">
        <v>1</v>
      </c>
      <c r="AY38" t="n">
        <v>863</v>
      </c>
      <c r="AZ38" t="n">
        <v>0</v>
      </c>
      <c r="BA38" t="n">
        <v>378</v>
      </c>
      <c r="BB38" t="n">
        <v>663</v>
      </c>
      <c r="BC38" t="n">
        <v>0</v>
      </c>
      <c r="BD38" t="n">
        <v>0</v>
      </c>
      <c r="BE38" t="n">
        <v>1041</v>
      </c>
      <c r="BF38" t="n">
        <v>0</v>
      </c>
      <c r="BG38" t="n">
        <v>0</v>
      </c>
      <c r="BH38" t="n">
        <v>792</v>
      </c>
      <c r="BI38" t="n">
        <v>274</v>
      </c>
      <c r="BJ38" t="n">
        <v>47</v>
      </c>
      <c r="BK38" t="n">
        <v>0</v>
      </c>
      <c r="BL38" t="n">
        <v>16</v>
      </c>
      <c r="BM38" t="n">
        <v>0</v>
      </c>
      <c r="BN38" t="n">
        <v>0</v>
      </c>
      <c r="BO38" t="n">
        <v>15</v>
      </c>
      <c r="BP38" t="n">
        <v>461</v>
      </c>
      <c r="BQ38" t="n">
        <v>1605</v>
      </c>
      <c r="BR38" t="n">
        <v>2646</v>
      </c>
      <c r="BS38" t="n">
        <v>73149</v>
      </c>
    </row>
    <row r="39">
      <c r="A39" t="n">
        <v>2023</v>
      </c>
      <c r="B39" t="inlineStr">
        <is>
          <t>Ouest</t>
        </is>
      </c>
      <c r="C39" t="inlineStr">
        <is>
          <t>Bretagne</t>
        </is>
      </c>
      <c r="D39" t="inlineStr">
        <is>
          <t>35</t>
        </is>
      </c>
      <c r="E39" t="inlineStr">
        <is>
          <t>Ille-et-Vilaine</t>
        </is>
      </c>
      <c r="F39" t="inlineStr">
        <is>
          <t>A</t>
        </is>
      </c>
      <c r="G39" t="n">
        <v>1733</v>
      </c>
      <c r="H39" t="n">
        <v>395</v>
      </c>
      <c r="I39" t="n">
        <v>50</v>
      </c>
      <c r="J39" t="n">
        <v>51</v>
      </c>
      <c r="K39" t="n">
        <v>40</v>
      </c>
      <c r="L39" t="n">
        <v>0</v>
      </c>
      <c r="M39" t="n">
        <v>70</v>
      </c>
      <c r="N39" t="n">
        <v>1058</v>
      </c>
      <c r="O39" t="n">
        <v>627</v>
      </c>
      <c r="P39" t="n">
        <v>486</v>
      </c>
      <c r="Q39" t="n">
        <v>0</v>
      </c>
      <c r="R39" t="n">
        <v>4115</v>
      </c>
      <c r="S39" t="n">
        <v>579</v>
      </c>
      <c r="T39" t="n">
        <v>4545</v>
      </c>
      <c r="U39" t="n">
        <v>607</v>
      </c>
      <c r="V39" t="n">
        <v>6428</v>
      </c>
      <c r="W39" t="n">
        <v>0</v>
      </c>
      <c r="X39" t="n">
        <v>552</v>
      </c>
      <c r="Y39" t="n">
        <v>11226</v>
      </c>
      <c r="Z39" t="n">
        <v>1494</v>
      </c>
      <c r="AA39" t="n">
        <v>135</v>
      </c>
      <c r="AB39" t="n">
        <v>7412</v>
      </c>
      <c r="AC39" t="n">
        <v>1449</v>
      </c>
      <c r="AD39" t="n">
        <v>46</v>
      </c>
      <c r="AE39" t="n">
        <v>80</v>
      </c>
      <c r="AF39" t="n">
        <v>382</v>
      </c>
      <c r="AG39" t="n">
        <v>83</v>
      </c>
      <c r="AH39" t="n">
        <v>236</v>
      </c>
      <c r="AI39" t="n">
        <v>35171</v>
      </c>
      <c r="AJ39" t="n">
        <v>268</v>
      </c>
      <c r="AK39" t="n">
        <v>18</v>
      </c>
      <c r="AL39" t="n">
        <v>286</v>
      </c>
      <c r="AM39" t="n">
        <v>35457</v>
      </c>
      <c r="AN39" t="n">
        <v>4468</v>
      </c>
      <c r="AO39" t="n">
        <v>9</v>
      </c>
      <c r="AP39" t="n">
        <v>2</v>
      </c>
      <c r="AQ39" t="n">
        <v>52</v>
      </c>
      <c r="AR39" t="n">
        <v>0</v>
      </c>
      <c r="AS39" t="n">
        <v>4531</v>
      </c>
      <c r="AT39" t="n">
        <v>93</v>
      </c>
      <c r="AU39" t="n">
        <v>392</v>
      </c>
      <c r="AV39" t="n">
        <v>0</v>
      </c>
      <c r="AW39" t="n">
        <v>41</v>
      </c>
      <c r="AX39" t="n">
        <v>0</v>
      </c>
      <c r="AY39" t="n">
        <v>526</v>
      </c>
      <c r="AZ39" t="n">
        <v>922</v>
      </c>
      <c r="BA39" t="n">
        <v>103</v>
      </c>
      <c r="BB39" t="n">
        <v>631</v>
      </c>
      <c r="BC39" t="n">
        <v>0</v>
      </c>
      <c r="BD39" t="n">
        <v>0</v>
      </c>
      <c r="BE39" t="n">
        <v>1656</v>
      </c>
      <c r="BF39" t="n">
        <v>633</v>
      </c>
      <c r="BG39" t="n">
        <v>596</v>
      </c>
      <c r="BH39" t="n">
        <v>307</v>
      </c>
      <c r="BI39" t="n">
        <v>74</v>
      </c>
      <c r="BJ39" t="n">
        <v>715</v>
      </c>
      <c r="BK39" t="n">
        <v>0</v>
      </c>
      <c r="BL39" t="n">
        <v>8</v>
      </c>
      <c r="BM39" t="n">
        <v>0</v>
      </c>
      <c r="BN39" t="n">
        <v>0</v>
      </c>
      <c r="BO39" t="n">
        <v>0</v>
      </c>
      <c r="BP39" t="n">
        <v>444</v>
      </c>
      <c r="BQ39" t="n">
        <v>2181</v>
      </c>
      <c r="BR39" t="n">
        <v>3837</v>
      </c>
      <c r="BS39" t="n">
        <v>48466</v>
      </c>
    </row>
    <row r="40">
      <c r="A40" t="n">
        <v>2023</v>
      </c>
      <c r="B40" t="inlineStr">
        <is>
          <t>Ouest</t>
        </is>
      </c>
      <c r="C40" t="inlineStr">
        <is>
          <t>Centre-Val de Loire</t>
        </is>
      </c>
      <c r="D40" t="inlineStr">
        <is>
          <t>36</t>
        </is>
      </c>
      <c r="E40" t="inlineStr">
        <is>
          <t>Indre</t>
        </is>
      </c>
      <c r="F40" t="inlineStr">
        <is>
          <t>C</t>
        </is>
      </c>
      <c r="G40" t="n">
        <v>308</v>
      </c>
      <c r="H40" t="n">
        <v>189</v>
      </c>
      <c r="I40" t="n">
        <v>8</v>
      </c>
      <c r="J40" t="n">
        <v>14</v>
      </c>
      <c r="K40" t="n">
        <v>21</v>
      </c>
      <c r="L40" t="n">
        <v>0</v>
      </c>
      <c r="M40" t="n">
        <v>18</v>
      </c>
      <c r="N40" t="n">
        <v>128</v>
      </c>
      <c r="O40" t="n">
        <v>193</v>
      </c>
      <c r="P40" t="n">
        <v>251</v>
      </c>
      <c r="Q40" t="n">
        <v>267</v>
      </c>
      <c r="R40" t="n">
        <v>1208</v>
      </c>
      <c r="S40" t="n">
        <v>152</v>
      </c>
      <c r="T40" t="n">
        <v>568</v>
      </c>
      <c r="U40" t="n">
        <v>169</v>
      </c>
      <c r="V40" t="n">
        <v>740</v>
      </c>
      <c r="W40" t="n">
        <v>0</v>
      </c>
      <c r="X40" t="n">
        <v>94</v>
      </c>
      <c r="Y40" t="n">
        <v>3709</v>
      </c>
      <c r="Z40" t="n">
        <v>2341</v>
      </c>
      <c r="AA40" t="n">
        <v>23</v>
      </c>
      <c r="AB40" t="n">
        <v>302</v>
      </c>
      <c r="AC40" t="n">
        <v>256</v>
      </c>
      <c r="AD40" t="n">
        <v>7</v>
      </c>
      <c r="AE40" t="n">
        <v>0</v>
      </c>
      <c r="AF40" t="n">
        <v>12</v>
      </c>
      <c r="AG40" t="n">
        <v>1</v>
      </c>
      <c r="AH40" t="n">
        <v>701</v>
      </c>
      <c r="AI40" t="n">
        <v>9074</v>
      </c>
      <c r="AJ40" t="n">
        <v>1530</v>
      </c>
      <c r="AK40" t="n">
        <v>11</v>
      </c>
      <c r="AL40" t="n">
        <v>1541</v>
      </c>
      <c r="AM40" t="n">
        <v>10615</v>
      </c>
      <c r="AN40" t="n">
        <v>1023</v>
      </c>
      <c r="AO40" t="n">
        <v>1</v>
      </c>
      <c r="AP40" t="n">
        <v>0</v>
      </c>
      <c r="AQ40" t="n">
        <v>2</v>
      </c>
      <c r="AR40" t="n">
        <v>0</v>
      </c>
      <c r="AS40" t="n">
        <v>1026</v>
      </c>
      <c r="AT40" t="n">
        <v>90</v>
      </c>
      <c r="AU40" t="n">
        <v>23</v>
      </c>
      <c r="AV40" t="n">
        <v>0</v>
      </c>
      <c r="AW40" t="n">
        <v>11</v>
      </c>
      <c r="AX40" t="n">
        <v>2</v>
      </c>
      <c r="AY40" t="n">
        <v>126</v>
      </c>
      <c r="AZ40" t="n">
        <v>99</v>
      </c>
      <c r="BA40" t="n">
        <v>137</v>
      </c>
      <c r="BB40" t="n">
        <v>166</v>
      </c>
      <c r="BC40" t="n">
        <v>6</v>
      </c>
      <c r="BD40" t="n">
        <v>0</v>
      </c>
      <c r="BE40" t="n">
        <v>408</v>
      </c>
      <c r="BF40" t="n">
        <v>18</v>
      </c>
      <c r="BG40" t="n">
        <v>0</v>
      </c>
      <c r="BH40" t="n">
        <v>219</v>
      </c>
      <c r="BI40" t="n">
        <v>200</v>
      </c>
      <c r="BJ40" t="n">
        <v>248</v>
      </c>
      <c r="BK40" t="n">
        <v>0</v>
      </c>
      <c r="BL40" t="n">
        <v>1</v>
      </c>
      <c r="BM40" t="n">
        <v>60</v>
      </c>
      <c r="BN40" t="n">
        <v>0</v>
      </c>
      <c r="BO40" t="n">
        <v>0</v>
      </c>
      <c r="BP40" t="n">
        <v>105</v>
      </c>
      <c r="BQ40" t="n">
        <v>851</v>
      </c>
      <c r="BR40" t="n">
        <v>1259</v>
      </c>
      <c r="BS40" t="n">
        <v>14234</v>
      </c>
    </row>
    <row r="41">
      <c r="A41" t="n">
        <v>2023</v>
      </c>
      <c r="B41" t="inlineStr">
        <is>
          <t>Ouest</t>
        </is>
      </c>
      <c r="C41" t="inlineStr">
        <is>
          <t>Centre-Val de Loire</t>
        </is>
      </c>
      <c r="D41" t="inlineStr">
        <is>
          <t>37</t>
        </is>
      </c>
      <c r="E41" t="inlineStr">
        <is>
          <t>Indre-et-Loire</t>
        </is>
      </c>
      <c r="F41" t="inlineStr">
        <is>
          <t>B</t>
        </is>
      </c>
      <c r="G41" t="n">
        <v>597</v>
      </c>
      <c r="H41" t="n">
        <v>209</v>
      </c>
      <c r="I41" t="n">
        <v>13</v>
      </c>
      <c r="J41" t="n">
        <v>57</v>
      </c>
      <c r="K41" t="n">
        <v>67</v>
      </c>
      <c r="L41" t="n">
        <v>0</v>
      </c>
      <c r="M41" t="n">
        <v>16</v>
      </c>
      <c r="N41" t="n">
        <v>611</v>
      </c>
      <c r="O41" t="n">
        <v>394</v>
      </c>
      <c r="P41" t="n">
        <v>305</v>
      </c>
      <c r="Q41" t="n">
        <v>366</v>
      </c>
      <c r="R41" t="n">
        <v>2426</v>
      </c>
      <c r="S41" t="n">
        <v>42</v>
      </c>
      <c r="T41" t="n">
        <v>1950</v>
      </c>
      <c r="U41" t="n">
        <v>0</v>
      </c>
      <c r="V41" t="n">
        <v>0</v>
      </c>
      <c r="W41" t="n">
        <v>0</v>
      </c>
      <c r="X41" t="n">
        <v>0</v>
      </c>
      <c r="Y41" t="n">
        <v>2928</v>
      </c>
      <c r="Z41" t="n">
        <v>2031</v>
      </c>
      <c r="AA41" t="n">
        <v>0</v>
      </c>
      <c r="AB41" t="n">
        <v>4869</v>
      </c>
      <c r="AC41" t="n">
        <v>409</v>
      </c>
      <c r="AD41" t="n">
        <v>25</v>
      </c>
      <c r="AE41" t="n">
        <v>0</v>
      </c>
      <c r="AF41" t="n">
        <v>35</v>
      </c>
      <c r="AG41" t="n">
        <v>35</v>
      </c>
      <c r="AH41" t="n">
        <v>10104</v>
      </c>
      <c r="AI41" t="n">
        <v>22393</v>
      </c>
      <c r="AJ41" t="n">
        <v>5023</v>
      </c>
      <c r="AK41" t="n">
        <v>0</v>
      </c>
      <c r="AL41" t="n">
        <v>5023</v>
      </c>
      <c r="AM41" t="n">
        <v>27416</v>
      </c>
      <c r="AN41" t="n">
        <v>2851</v>
      </c>
      <c r="AO41" t="n">
        <v>8</v>
      </c>
      <c r="AP41" t="n">
        <v>0</v>
      </c>
      <c r="AQ41" t="n">
        <v>0</v>
      </c>
      <c r="AR41" t="n">
        <v>0</v>
      </c>
      <c r="AS41" t="n">
        <v>2859</v>
      </c>
      <c r="AT41" t="n">
        <v>108</v>
      </c>
      <c r="AU41" t="n">
        <v>74</v>
      </c>
      <c r="AV41" t="n">
        <v>113</v>
      </c>
      <c r="AW41" t="n">
        <v>12</v>
      </c>
      <c r="AX41" t="n">
        <v>3</v>
      </c>
      <c r="AY41" t="n">
        <v>310</v>
      </c>
      <c r="AZ41" t="n">
        <v>489</v>
      </c>
      <c r="BA41" t="n">
        <v>8</v>
      </c>
      <c r="BB41" t="n">
        <v>436</v>
      </c>
      <c r="BC41" t="n">
        <v>0</v>
      </c>
      <c r="BD41" t="n">
        <v>8</v>
      </c>
      <c r="BE41" t="n">
        <v>941</v>
      </c>
      <c r="BF41" t="n">
        <v>53</v>
      </c>
      <c r="BG41" t="n">
        <v>53</v>
      </c>
      <c r="BH41" t="n">
        <v>271</v>
      </c>
      <c r="BI41" t="n">
        <v>12</v>
      </c>
      <c r="BJ41" t="n">
        <v>548</v>
      </c>
      <c r="BK41" t="n">
        <v>0</v>
      </c>
      <c r="BL41" t="n">
        <v>5</v>
      </c>
      <c r="BM41" t="n">
        <v>59</v>
      </c>
      <c r="BN41" t="n">
        <v>26</v>
      </c>
      <c r="BO41" t="n">
        <v>0</v>
      </c>
      <c r="BP41" t="n">
        <v>382</v>
      </c>
      <c r="BQ41" t="n">
        <v>1356</v>
      </c>
      <c r="BR41" t="n">
        <v>2297</v>
      </c>
      <c r="BS41" t="n">
        <v>35308</v>
      </c>
    </row>
    <row r="42">
      <c r="A42" t="n">
        <v>2023</v>
      </c>
      <c r="B42" t="inlineStr">
        <is>
          <t>Sud-est</t>
        </is>
      </c>
      <c r="C42" t="inlineStr">
        <is>
          <t>Auvergne-Rh�ne-Alpes</t>
        </is>
      </c>
      <c r="D42" t="inlineStr">
        <is>
          <t>38</t>
        </is>
      </c>
      <c r="E42" t="inlineStr">
        <is>
          <t>Is�re</t>
        </is>
      </c>
      <c r="F42" t="inlineStr">
        <is>
          <t>A</t>
        </is>
      </c>
      <c r="G42" t="n">
        <v>1288</v>
      </c>
      <c r="H42" t="n">
        <v>405</v>
      </c>
      <c r="I42" t="n">
        <v>5</v>
      </c>
      <c r="J42" t="n">
        <v>2</v>
      </c>
      <c r="K42" t="n">
        <v>47</v>
      </c>
      <c r="L42" t="n">
        <v>2</v>
      </c>
      <c r="M42" t="n">
        <v>29</v>
      </c>
      <c r="N42" t="n">
        <v>1734</v>
      </c>
      <c r="O42" t="n">
        <v>1528</v>
      </c>
      <c r="P42" t="n">
        <v>568</v>
      </c>
      <c r="Q42" t="n">
        <v>1150</v>
      </c>
      <c r="R42" t="n">
        <v>6353</v>
      </c>
      <c r="S42" t="n">
        <v>898</v>
      </c>
      <c r="T42" t="n">
        <v>0</v>
      </c>
      <c r="U42" t="n">
        <v>0</v>
      </c>
      <c r="V42" t="n">
        <v>0</v>
      </c>
      <c r="W42" t="n">
        <v>96</v>
      </c>
      <c r="X42" t="n">
        <v>0</v>
      </c>
      <c r="Y42" t="n">
        <v>34082</v>
      </c>
      <c r="Z42" t="n">
        <v>5510</v>
      </c>
      <c r="AA42" t="n">
        <v>0</v>
      </c>
      <c r="AB42" t="n">
        <v>12941</v>
      </c>
      <c r="AC42" t="n">
        <v>0</v>
      </c>
      <c r="AD42" t="n">
        <v>33</v>
      </c>
      <c r="AE42" t="n">
        <v>0</v>
      </c>
      <c r="AF42" t="n">
        <v>73</v>
      </c>
      <c r="AG42" t="n">
        <v>0</v>
      </c>
      <c r="AH42" t="n">
        <v>0</v>
      </c>
      <c r="AI42" t="n">
        <v>53633</v>
      </c>
      <c r="AJ42" t="n">
        <v>9777</v>
      </c>
      <c r="AK42" t="n">
        <v>11</v>
      </c>
      <c r="AL42" t="n">
        <v>9788</v>
      </c>
      <c r="AM42" t="n">
        <v>63421</v>
      </c>
      <c r="AN42" t="n">
        <v>5570</v>
      </c>
      <c r="AO42" t="n">
        <v>10</v>
      </c>
      <c r="AP42" t="n">
        <v>4</v>
      </c>
      <c r="AQ42" t="n">
        <v>3</v>
      </c>
      <c r="AR42" t="n">
        <v>0</v>
      </c>
      <c r="AS42" t="n">
        <v>5587</v>
      </c>
      <c r="AT42" t="n">
        <v>1022</v>
      </c>
      <c r="AU42" t="n">
        <v>0</v>
      </c>
      <c r="AV42" t="n">
        <v>0</v>
      </c>
      <c r="AW42" t="n">
        <v>60</v>
      </c>
      <c r="AX42" t="n">
        <v>14</v>
      </c>
      <c r="AY42" t="n">
        <v>1096</v>
      </c>
      <c r="AZ42" t="n">
        <v>749</v>
      </c>
      <c r="BA42" t="n">
        <v>1317</v>
      </c>
      <c r="BB42" t="n">
        <v>0</v>
      </c>
      <c r="BC42" t="n">
        <v>0</v>
      </c>
      <c r="BD42" t="n">
        <v>0</v>
      </c>
      <c r="BE42" t="n">
        <v>2066</v>
      </c>
      <c r="BF42" t="n">
        <v>59</v>
      </c>
      <c r="BG42" t="n">
        <v>0</v>
      </c>
      <c r="BH42" t="n">
        <v>518</v>
      </c>
      <c r="BI42" t="n">
        <v>181</v>
      </c>
      <c r="BJ42" t="n">
        <v>54</v>
      </c>
      <c r="BK42" t="n">
        <v>0</v>
      </c>
      <c r="BL42" t="n">
        <v>114</v>
      </c>
      <c r="BM42" t="n">
        <v>14</v>
      </c>
      <c r="BN42" t="n">
        <v>36</v>
      </c>
      <c r="BO42" t="n">
        <v>4</v>
      </c>
      <c r="BP42" t="n">
        <v>1144</v>
      </c>
      <c r="BQ42" t="n">
        <v>2124</v>
      </c>
      <c r="BR42" t="n">
        <v>4190</v>
      </c>
      <c r="BS42" t="n">
        <v>80647</v>
      </c>
    </row>
    <row r="43">
      <c r="A43" t="n">
        <v>2023</v>
      </c>
      <c r="B43" t="inlineStr">
        <is>
          <t>Est</t>
        </is>
      </c>
      <c r="C43" t="inlineStr">
        <is>
          <t>Bourgogne-Franche-Comt�</t>
        </is>
      </c>
      <c r="D43" t="inlineStr">
        <is>
          <t>39</t>
        </is>
      </c>
      <c r="E43" t="inlineStr">
        <is>
          <t>Jura</t>
        </is>
      </c>
      <c r="F43" t="inlineStr">
        <is>
          <t>C</t>
        </is>
      </c>
      <c r="G43" t="n">
        <v>486</v>
      </c>
      <c r="H43" t="n">
        <v>250</v>
      </c>
      <c r="I43" t="n">
        <v>0</v>
      </c>
      <c r="J43" t="n">
        <v>24</v>
      </c>
      <c r="K43" t="n">
        <v>45</v>
      </c>
      <c r="L43" t="n">
        <v>0</v>
      </c>
      <c r="M43" t="n">
        <v>18</v>
      </c>
      <c r="N43" t="n">
        <v>130</v>
      </c>
      <c r="O43" t="n">
        <v>172</v>
      </c>
      <c r="P43" t="n">
        <v>273</v>
      </c>
      <c r="Q43" t="n">
        <v>122</v>
      </c>
      <c r="R43" t="n">
        <v>1270</v>
      </c>
      <c r="S43" t="n">
        <v>412</v>
      </c>
      <c r="T43" t="n">
        <v>2183</v>
      </c>
      <c r="U43" t="n">
        <v>645</v>
      </c>
      <c r="V43" t="n">
        <v>1428</v>
      </c>
      <c r="W43" t="n">
        <v>7</v>
      </c>
      <c r="X43" t="n">
        <v>275</v>
      </c>
      <c r="Y43" t="n">
        <v>3226</v>
      </c>
      <c r="Z43" t="n">
        <v>1882</v>
      </c>
      <c r="AA43" t="n">
        <v>0</v>
      </c>
      <c r="AB43" t="n">
        <v>1624</v>
      </c>
      <c r="AC43" t="n">
        <v>225</v>
      </c>
      <c r="AD43" t="n">
        <v>16</v>
      </c>
      <c r="AE43" t="n">
        <v>0</v>
      </c>
      <c r="AF43" t="n">
        <v>29</v>
      </c>
      <c r="AG43" t="n">
        <v>0</v>
      </c>
      <c r="AH43" t="n">
        <v>944</v>
      </c>
      <c r="AI43" t="n">
        <v>12896</v>
      </c>
      <c r="AJ43" t="n">
        <v>1093</v>
      </c>
      <c r="AK43" t="n">
        <v>25</v>
      </c>
      <c r="AL43" t="n">
        <v>1118</v>
      </c>
      <c r="AM43" t="n">
        <v>14014</v>
      </c>
      <c r="AN43" t="n">
        <v>1283</v>
      </c>
      <c r="AO43" t="n">
        <v>1</v>
      </c>
      <c r="AP43" t="n">
        <v>0</v>
      </c>
      <c r="AQ43" t="n">
        <v>0</v>
      </c>
      <c r="AR43" t="n">
        <v>0</v>
      </c>
      <c r="AS43" t="n">
        <v>1284</v>
      </c>
      <c r="AT43" t="n">
        <v>82</v>
      </c>
      <c r="AU43" t="n">
        <v>0</v>
      </c>
      <c r="AV43" t="n">
        <v>35</v>
      </c>
      <c r="AW43" t="n">
        <v>12</v>
      </c>
      <c r="AX43" t="n">
        <v>110</v>
      </c>
      <c r="AY43" t="n">
        <v>239</v>
      </c>
      <c r="AZ43" t="n">
        <v>181</v>
      </c>
      <c r="BA43" t="n">
        <v>239</v>
      </c>
      <c r="BB43" t="n">
        <v>28</v>
      </c>
      <c r="BC43" t="n">
        <v>1</v>
      </c>
      <c r="BD43" t="n">
        <v>0</v>
      </c>
      <c r="BE43" t="n">
        <v>449</v>
      </c>
      <c r="BF43" t="n">
        <v>74</v>
      </c>
      <c r="BG43" t="n">
        <v>0</v>
      </c>
      <c r="BH43" t="n">
        <v>146</v>
      </c>
      <c r="BI43" t="n">
        <v>103</v>
      </c>
      <c r="BJ43" t="n">
        <v>10</v>
      </c>
      <c r="BK43" t="n">
        <v>1</v>
      </c>
      <c r="BL43" t="n">
        <v>2</v>
      </c>
      <c r="BM43" t="n">
        <v>53</v>
      </c>
      <c r="BN43" t="n">
        <v>0</v>
      </c>
      <c r="BO43" t="n">
        <v>4</v>
      </c>
      <c r="BP43" t="n">
        <v>182</v>
      </c>
      <c r="BQ43" t="n">
        <v>575</v>
      </c>
      <c r="BR43" t="n">
        <v>1024</v>
      </c>
      <c r="BS43" t="n">
        <v>17831</v>
      </c>
    </row>
    <row r="44">
      <c r="A44" t="n">
        <v>2023</v>
      </c>
      <c r="B44" t="inlineStr">
        <is>
          <t>Sud-ouest</t>
        </is>
      </c>
      <c r="C44" t="inlineStr">
        <is>
          <t>Nouvelle-Aquitaine</t>
        </is>
      </c>
      <c r="D44" t="inlineStr">
        <is>
          <t>40</t>
        </is>
      </c>
      <c r="E44" t="inlineStr">
        <is>
          <t>Landes</t>
        </is>
      </c>
      <c r="F44" t="inlineStr">
        <is>
          <t>B</t>
        </is>
      </c>
      <c r="G44" t="n">
        <v>416</v>
      </c>
      <c r="H44" t="n">
        <v>159</v>
      </c>
      <c r="I44" t="n">
        <v>13</v>
      </c>
      <c r="J44" t="n">
        <v>26</v>
      </c>
      <c r="K44" t="n">
        <v>31</v>
      </c>
      <c r="L44" t="n">
        <v>8</v>
      </c>
      <c r="M44" t="n">
        <v>16</v>
      </c>
      <c r="N44" t="n">
        <v>262</v>
      </c>
      <c r="O44" t="n">
        <v>256</v>
      </c>
      <c r="P44" t="n">
        <v>240</v>
      </c>
      <c r="Q44" t="n">
        <v>171</v>
      </c>
      <c r="R44" t="n">
        <v>1439</v>
      </c>
      <c r="S44" t="n">
        <v>696</v>
      </c>
      <c r="T44" t="n">
        <v>1197</v>
      </c>
      <c r="U44" t="n">
        <v>635</v>
      </c>
      <c r="V44" t="n">
        <v>4567</v>
      </c>
      <c r="W44" t="n">
        <v>0</v>
      </c>
      <c r="X44" t="n">
        <v>659</v>
      </c>
      <c r="Y44" t="n">
        <v>13482</v>
      </c>
      <c r="Z44" t="n">
        <v>5239</v>
      </c>
      <c r="AA44" t="n">
        <v>52</v>
      </c>
      <c r="AB44" t="n">
        <v>3538</v>
      </c>
      <c r="AC44" t="n">
        <v>1022</v>
      </c>
      <c r="AD44" t="n">
        <v>21</v>
      </c>
      <c r="AE44" t="n">
        <v>56</v>
      </c>
      <c r="AF44" t="n">
        <v>0</v>
      </c>
      <c r="AG44" t="n">
        <v>0</v>
      </c>
      <c r="AH44" t="n">
        <v>0</v>
      </c>
      <c r="AI44" t="n">
        <v>31164</v>
      </c>
      <c r="AJ44" t="n">
        <v>1642</v>
      </c>
      <c r="AK44" t="n">
        <v>229</v>
      </c>
      <c r="AL44" t="n">
        <v>1871</v>
      </c>
      <c r="AM44" t="n">
        <v>33035</v>
      </c>
      <c r="AN44" t="n">
        <v>2073</v>
      </c>
      <c r="AO44" t="n">
        <v>2</v>
      </c>
      <c r="AP44" t="n">
        <v>3</v>
      </c>
      <c r="AQ44" t="n">
        <v>2</v>
      </c>
      <c r="AR44" t="n">
        <v>0</v>
      </c>
      <c r="AS44" t="n">
        <v>2080</v>
      </c>
      <c r="AT44" t="n">
        <v>160</v>
      </c>
      <c r="AU44" t="n">
        <v>61</v>
      </c>
      <c r="AV44" t="n">
        <v>106</v>
      </c>
      <c r="AW44" t="n">
        <v>15</v>
      </c>
      <c r="AX44" t="n">
        <v>2</v>
      </c>
      <c r="AY44" t="n">
        <v>344</v>
      </c>
      <c r="AZ44" t="n">
        <v>153</v>
      </c>
      <c r="BA44" t="n">
        <v>321</v>
      </c>
      <c r="BB44" t="n">
        <v>83</v>
      </c>
      <c r="BC44" t="n">
        <v>35</v>
      </c>
      <c r="BD44" t="n">
        <v>0</v>
      </c>
      <c r="BE44" t="n">
        <v>592</v>
      </c>
      <c r="BF44" t="n">
        <v>0</v>
      </c>
      <c r="BG44" t="n">
        <v>0</v>
      </c>
      <c r="BH44" t="n">
        <v>237</v>
      </c>
      <c r="BI44" t="n">
        <v>84</v>
      </c>
      <c r="BJ44" t="n">
        <v>354</v>
      </c>
      <c r="BK44" t="n">
        <v>0</v>
      </c>
      <c r="BL44" t="n">
        <v>1</v>
      </c>
      <c r="BM44" t="n">
        <v>97</v>
      </c>
      <c r="BN44" t="n">
        <v>0</v>
      </c>
      <c r="BO44" t="n">
        <v>1</v>
      </c>
      <c r="BP44" t="n">
        <v>1140</v>
      </c>
      <c r="BQ44" t="n">
        <v>1914</v>
      </c>
      <c r="BR44" t="n">
        <v>2506</v>
      </c>
      <c r="BS44" t="n">
        <v>39404</v>
      </c>
    </row>
    <row r="45">
      <c r="A45" t="n">
        <v>2023</v>
      </c>
      <c r="B45" t="inlineStr">
        <is>
          <t>Ouest</t>
        </is>
      </c>
      <c r="C45" t="inlineStr">
        <is>
          <t>Centre-Val de Loire</t>
        </is>
      </c>
      <c r="D45" t="inlineStr">
        <is>
          <t>41</t>
        </is>
      </c>
      <c r="E45" t="inlineStr">
        <is>
          <t>Loir-et-Cher</t>
        </is>
      </c>
      <c r="F45" t="inlineStr">
        <is>
          <t>C</t>
        </is>
      </c>
      <c r="G45" t="n">
        <v>478</v>
      </c>
      <c r="H45" t="n">
        <v>235</v>
      </c>
      <c r="I45" t="n">
        <v>12</v>
      </c>
      <c r="J45" t="n">
        <v>23</v>
      </c>
      <c r="K45" t="n">
        <v>36</v>
      </c>
      <c r="L45" t="n">
        <v>3</v>
      </c>
      <c r="M45" t="n">
        <v>14</v>
      </c>
      <c r="N45" t="n">
        <v>124</v>
      </c>
      <c r="O45" t="n">
        <v>282</v>
      </c>
      <c r="P45" t="n">
        <v>247</v>
      </c>
      <c r="Q45" t="n">
        <v>339</v>
      </c>
      <c r="R45" t="n">
        <v>1558</v>
      </c>
      <c r="S45" t="n">
        <v>533</v>
      </c>
      <c r="T45" t="n">
        <v>2559</v>
      </c>
      <c r="U45" t="n">
        <v>396</v>
      </c>
      <c r="V45" t="n">
        <v>1574</v>
      </c>
      <c r="W45" t="n">
        <v>0</v>
      </c>
      <c r="X45" t="n">
        <v>389</v>
      </c>
      <c r="Y45" t="n">
        <v>6325</v>
      </c>
      <c r="Z45" t="n">
        <v>1131</v>
      </c>
      <c r="AA45" t="n">
        <v>23</v>
      </c>
      <c r="AB45" t="n">
        <v>2385</v>
      </c>
      <c r="AC45" t="n">
        <v>547</v>
      </c>
      <c r="AD45" t="n">
        <v>6</v>
      </c>
      <c r="AE45" t="n">
        <v>0</v>
      </c>
      <c r="AF45" t="n">
        <v>8</v>
      </c>
      <c r="AG45" t="n">
        <v>6</v>
      </c>
      <c r="AH45" t="n">
        <v>598</v>
      </c>
      <c r="AI45" t="n">
        <v>16474</v>
      </c>
      <c r="AJ45" t="n">
        <v>2656</v>
      </c>
      <c r="AK45" t="n">
        <v>5</v>
      </c>
      <c r="AL45" t="n">
        <v>2661</v>
      </c>
      <c r="AM45" t="n">
        <v>19135</v>
      </c>
      <c r="AN45" t="n">
        <v>1635</v>
      </c>
      <c r="AO45" t="n">
        <v>1</v>
      </c>
      <c r="AP45" t="n">
        <v>0</v>
      </c>
      <c r="AQ45" t="n">
        <v>0</v>
      </c>
      <c r="AR45" t="n">
        <v>0</v>
      </c>
      <c r="AS45" t="n">
        <v>1636</v>
      </c>
      <c r="AT45" t="n">
        <v>139</v>
      </c>
      <c r="AU45" t="n">
        <v>70</v>
      </c>
      <c r="AV45" t="n">
        <v>110</v>
      </c>
      <c r="AW45" t="n">
        <v>14</v>
      </c>
      <c r="AX45" t="n">
        <v>32</v>
      </c>
      <c r="AY45" t="n">
        <v>365</v>
      </c>
      <c r="AZ45" t="n">
        <v>128</v>
      </c>
      <c r="BA45" t="n">
        <v>107</v>
      </c>
      <c r="BB45" t="n">
        <v>148</v>
      </c>
      <c r="BC45" t="n">
        <v>0</v>
      </c>
      <c r="BD45" t="n">
        <v>5</v>
      </c>
      <c r="BE45" t="n">
        <v>388</v>
      </c>
      <c r="BF45" t="n">
        <v>360</v>
      </c>
      <c r="BG45" t="n">
        <v>0</v>
      </c>
      <c r="BH45" t="n">
        <v>392</v>
      </c>
      <c r="BI45" t="n">
        <v>256</v>
      </c>
      <c r="BJ45" t="n">
        <v>91</v>
      </c>
      <c r="BK45" t="n">
        <v>0</v>
      </c>
      <c r="BL45" t="n">
        <v>3</v>
      </c>
      <c r="BM45" t="n">
        <v>58</v>
      </c>
      <c r="BN45" t="n">
        <v>12</v>
      </c>
      <c r="BO45" t="n">
        <v>0</v>
      </c>
      <c r="BP45" t="n">
        <v>682</v>
      </c>
      <c r="BQ45" t="n">
        <v>1854</v>
      </c>
      <c r="BR45" t="n">
        <v>2242</v>
      </c>
      <c r="BS45" t="n">
        <v>24936</v>
      </c>
    </row>
    <row r="46">
      <c r="A46" t="n">
        <v>2023</v>
      </c>
      <c r="B46" t="inlineStr">
        <is>
          <t>Sud-est</t>
        </is>
      </c>
      <c r="C46" t="inlineStr">
        <is>
          <t>Auvergne-Rh�ne-Alpes</t>
        </is>
      </c>
      <c r="D46" t="inlineStr">
        <is>
          <t>42</t>
        </is>
      </c>
      <c r="E46" t="inlineStr">
        <is>
          <t>Loire</t>
        </is>
      </c>
      <c r="F46" t="inlineStr">
        <is>
          <t>B</t>
        </is>
      </c>
      <c r="G46" t="n">
        <v>664</v>
      </c>
      <c r="H46" t="n">
        <v>206</v>
      </c>
      <c r="I46" t="n">
        <v>27</v>
      </c>
      <c r="J46" t="n">
        <v>69</v>
      </c>
      <c r="K46" t="n">
        <v>56</v>
      </c>
      <c r="L46" t="n">
        <v>25</v>
      </c>
      <c r="M46" t="n">
        <v>27</v>
      </c>
      <c r="N46" t="n">
        <v>823</v>
      </c>
      <c r="O46" t="n">
        <v>886</v>
      </c>
      <c r="P46" t="n">
        <v>446</v>
      </c>
      <c r="Q46" t="n">
        <v>184</v>
      </c>
      <c r="R46" t="n">
        <v>3207</v>
      </c>
      <c r="S46" t="n">
        <v>1160</v>
      </c>
      <c r="T46" t="n">
        <v>6366</v>
      </c>
      <c r="U46" t="n">
        <v>1305</v>
      </c>
      <c r="V46" t="n">
        <v>4261</v>
      </c>
      <c r="W46" t="n">
        <v>0</v>
      </c>
      <c r="X46" t="n">
        <v>789</v>
      </c>
      <c r="Y46" t="n">
        <v>11504</v>
      </c>
      <c r="Z46" t="n">
        <v>983</v>
      </c>
      <c r="AA46" t="n">
        <v>1127</v>
      </c>
      <c r="AB46" t="n">
        <v>4258</v>
      </c>
      <c r="AC46" t="n">
        <v>2444</v>
      </c>
      <c r="AD46" t="n">
        <v>20</v>
      </c>
      <c r="AE46" t="n">
        <v>0</v>
      </c>
      <c r="AF46" t="n">
        <v>235</v>
      </c>
      <c r="AG46" t="n">
        <v>41</v>
      </c>
      <c r="AH46" t="n">
        <v>2289</v>
      </c>
      <c r="AI46" t="n">
        <v>36741</v>
      </c>
      <c r="AJ46" t="n">
        <v>3533</v>
      </c>
      <c r="AK46" t="n">
        <v>372</v>
      </c>
      <c r="AL46" t="n">
        <v>3905</v>
      </c>
      <c r="AM46" t="n">
        <v>40646</v>
      </c>
      <c r="AN46" t="n">
        <v>2866</v>
      </c>
      <c r="AO46" t="n">
        <v>8</v>
      </c>
      <c r="AP46" t="n">
        <v>1</v>
      </c>
      <c r="AQ46" t="n">
        <v>0</v>
      </c>
      <c r="AR46" t="n">
        <v>0</v>
      </c>
      <c r="AS46" t="n">
        <v>2875</v>
      </c>
      <c r="AT46" t="n">
        <v>276</v>
      </c>
      <c r="AU46" t="n">
        <v>354</v>
      </c>
      <c r="AV46" t="n">
        <v>0</v>
      </c>
      <c r="AW46" t="n">
        <v>35</v>
      </c>
      <c r="AX46" t="n">
        <v>50</v>
      </c>
      <c r="AY46" t="n">
        <v>715</v>
      </c>
      <c r="AZ46" t="n">
        <v>0</v>
      </c>
      <c r="BA46" t="n">
        <v>783</v>
      </c>
      <c r="BB46" t="n">
        <v>184</v>
      </c>
      <c r="BC46" t="n">
        <v>0</v>
      </c>
      <c r="BD46" t="n">
        <v>0</v>
      </c>
      <c r="BE46" t="n">
        <v>967</v>
      </c>
      <c r="BF46" t="n">
        <v>308</v>
      </c>
      <c r="BG46" t="n">
        <v>108</v>
      </c>
      <c r="BH46" t="n">
        <v>572</v>
      </c>
      <c r="BI46" t="n">
        <v>469</v>
      </c>
      <c r="BJ46" t="n">
        <v>15</v>
      </c>
      <c r="BK46" t="n">
        <v>1</v>
      </c>
      <c r="BL46" t="n">
        <v>17</v>
      </c>
      <c r="BM46" t="n">
        <v>87</v>
      </c>
      <c r="BN46" t="n">
        <v>0</v>
      </c>
      <c r="BO46" t="n">
        <v>0</v>
      </c>
      <c r="BP46" t="n">
        <v>264</v>
      </c>
      <c r="BQ46" t="n">
        <v>1733</v>
      </c>
      <c r="BR46" t="n">
        <v>2700</v>
      </c>
      <c r="BS46" t="n">
        <v>50143</v>
      </c>
    </row>
    <row r="47">
      <c r="A47" t="n">
        <v>2023</v>
      </c>
      <c r="B47" t="inlineStr">
        <is>
          <t>Sud-est</t>
        </is>
      </c>
      <c r="C47" t="inlineStr">
        <is>
          <t>Auvergne-Rh�ne-Alpes</t>
        </is>
      </c>
      <c r="D47" t="inlineStr">
        <is>
          <t>43</t>
        </is>
      </c>
      <c r="E47" t="inlineStr">
        <is>
          <t>Haute-Loire</t>
        </is>
      </c>
      <c r="F47" t="inlineStr">
        <is>
          <t>C</t>
        </is>
      </c>
      <c r="G47" t="n">
        <v>240</v>
      </c>
      <c r="H47" t="n">
        <v>157</v>
      </c>
      <c r="I47" t="n">
        <v>0</v>
      </c>
      <c r="J47" t="n">
        <v>6</v>
      </c>
      <c r="K47" t="n">
        <v>14</v>
      </c>
      <c r="L47" t="n">
        <v>0</v>
      </c>
      <c r="M47" t="n">
        <v>11</v>
      </c>
      <c r="N47" t="n">
        <v>38</v>
      </c>
      <c r="O47" t="n">
        <v>110</v>
      </c>
      <c r="P47" t="n">
        <v>291</v>
      </c>
      <c r="Q47" t="n">
        <v>126</v>
      </c>
      <c r="R47" t="n">
        <v>836</v>
      </c>
      <c r="S47" t="n">
        <v>0</v>
      </c>
      <c r="T47" t="n">
        <v>6617</v>
      </c>
      <c r="U47" t="n">
        <v>0</v>
      </c>
      <c r="V47" t="n">
        <v>2068</v>
      </c>
      <c r="W47" t="n">
        <v>48</v>
      </c>
      <c r="X47" t="n">
        <v>0</v>
      </c>
      <c r="Y47" t="n">
        <v>2067</v>
      </c>
      <c r="Z47" t="n">
        <v>30</v>
      </c>
      <c r="AA47" t="n">
        <v>0</v>
      </c>
      <c r="AB47" t="n">
        <v>0</v>
      </c>
      <c r="AC47" t="n">
        <v>0</v>
      </c>
      <c r="AD47" t="n">
        <v>7</v>
      </c>
      <c r="AE47" t="n">
        <v>0</v>
      </c>
      <c r="AF47" t="n">
        <v>7</v>
      </c>
      <c r="AG47" t="n">
        <v>0</v>
      </c>
      <c r="AH47" t="n">
        <v>821</v>
      </c>
      <c r="AI47" t="n">
        <v>11665</v>
      </c>
      <c r="AJ47" t="n">
        <v>416</v>
      </c>
      <c r="AK47" t="n">
        <v>0</v>
      </c>
      <c r="AL47" t="n">
        <v>416</v>
      </c>
      <c r="AM47" t="n">
        <v>12081</v>
      </c>
      <c r="AN47" t="n">
        <v>928</v>
      </c>
      <c r="AO47" t="n">
        <v>0</v>
      </c>
      <c r="AP47" t="n">
        <v>0</v>
      </c>
      <c r="AQ47" t="n">
        <v>0</v>
      </c>
      <c r="AR47" t="n">
        <v>0</v>
      </c>
      <c r="AS47" t="n">
        <v>928</v>
      </c>
      <c r="AT47" t="n">
        <v>55</v>
      </c>
      <c r="AU47" t="n">
        <v>74</v>
      </c>
      <c r="AV47" t="n">
        <v>0</v>
      </c>
      <c r="AW47" t="n">
        <v>24</v>
      </c>
      <c r="AX47" t="n">
        <v>0</v>
      </c>
      <c r="AY47" t="n">
        <v>153</v>
      </c>
      <c r="AZ47" t="n">
        <v>156</v>
      </c>
      <c r="BA47" t="n">
        <v>0</v>
      </c>
      <c r="BB47" t="n">
        <v>0</v>
      </c>
      <c r="BC47" t="n">
        <v>66</v>
      </c>
      <c r="BD47" t="n">
        <v>0</v>
      </c>
      <c r="BE47" t="n">
        <v>222</v>
      </c>
      <c r="BF47" t="n">
        <v>0</v>
      </c>
      <c r="BG47" t="n">
        <v>0</v>
      </c>
      <c r="BH47" t="n">
        <v>117</v>
      </c>
      <c r="BI47" t="n">
        <v>45</v>
      </c>
      <c r="BJ47" t="n">
        <v>9</v>
      </c>
      <c r="BK47" t="n">
        <v>1</v>
      </c>
      <c r="BL47" t="n">
        <v>1</v>
      </c>
      <c r="BM47" t="n">
        <v>30</v>
      </c>
      <c r="BN47" t="n">
        <v>55</v>
      </c>
      <c r="BO47" t="n">
        <v>3</v>
      </c>
      <c r="BP47" t="n">
        <v>276</v>
      </c>
      <c r="BQ47" t="n">
        <v>537</v>
      </c>
      <c r="BR47" t="n">
        <v>759</v>
      </c>
      <c r="BS47" t="n">
        <v>14757</v>
      </c>
    </row>
    <row r="48">
      <c r="A48" t="n">
        <v>2023</v>
      </c>
      <c r="B48" t="inlineStr">
        <is>
          <t>Ouest</t>
        </is>
      </c>
      <c r="C48" t="inlineStr">
        <is>
          <t>Pays de la Loire</t>
        </is>
      </c>
      <c r="D48" t="inlineStr">
        <is>
          <t>44</t>
        </is>
      </c>
      <c r="E48" t="inlineStr">
        <is>
          <t>Loire-Atlantique</t>
        </is>
      </c>
      <c r="F48" t="inlineStr">
        <is>
          <t>A</t>
        </is>
      </c>
      <c r="G48" t="n">
        <v>981</v>
      </c>
      <c r="H48" t="n">
        <v>342</v>
      </c>
      <c r="I48" t="n">
        <v>46</v>
      </c>
      <c r="J48" t="n">
        <v>92</v>
      </c>
      <c r="K48" t="n">
        <v>104</v>
      </c>
      <c r="L48" t="n">
        <v>13</v>
      </c>
      <c r="M48" t="n">
        <v>49</v>
      </c>
      <c r="N48" t="n">
        <v>1221</v>
      </c>
      <c r="O48" t="n">
        <v>1251</v>
      </c>
      <c r="P48" t="n">
        <v>698</v>
      </c>
      <c r="Q48" t="n">
        <v>1274</v>
      </c>
      <c r="R48" t="n">
        <v>5729</v>
      </c>
      <c r="S48" t="n">
        <v>1554</v>
      </c>
      <c r="T48" t="n">
        <v>7510</v>
      </c>
      <c r="U48" t="n">
        <v>1692</v>
      </c>
      <c r="V48" t="n">
        <v>7146</v>
      </c>
      <c r="W48" t="n">
        <v>0</v>
      </c>
      <c r="X48" t="n">
        <v>1602</v>
      </c>
      <c r="Y48" t="n">
        <v>13325</v>
      </c>
      <c r="Z48" t="n">
        <v>1995</v>
      </c>
      <c r="AA48" t="n">
        <v>0</v>
      </c>
      <c r="AB48" t="n">
        <v>9495</v>
      </c>
      <c r="AC48" t="n">
        <v>1632</v>
      </c>
      <c r="AD48" t="n">
        <v>50</v>
      </c>
      <c r="AE48" t="n">
        <v>28</v>
      </c>
      <c r="AF48" t="n">
        <v>297</v>
      </c>
      <c r="AG48" t="n">
        <v>79</v>
      </c>
      <c r="AH48" t="n">
        <v>2049</v>
      </c>
      <c r="AI48" t="n">
        <v>48375</v>
      </c>
      <c r="AJ48" t="n">
        <v>7852</v>
      </c>
      <c r="AK48" t="n">
        <v>360</v>
      </c>
      <c r="AL48" t="n">
        <v>8212</v>
      </c>
      <c r="AM48" t="n">
        <v>56587</v>
      </c>
      <c r="AN48" t="n">
        <v>6554</v>
      </c>
      <c r="AO48" t="n">
        <v>11</v>
      </c>
      <c r="AP48" t="n">
        <v>4</v>
      </c>
      <c r="AQ48" t="n">
        <v>44</v>
      </c>
      <c r="AR48" t="n">
        <v>0</v>
      </c>
      <c r="AS48" t="n">
        <v>6613</v>
      </c>
      <c r="AT48" t="n">
        <v>334</v>
      </c>
      <c r="AU48" t="n">
        <v>64</v>
      </c>
      <c r="AV48" t="n">
        <v>103</v>
      </c>
      <c r="AW48" t="n">
        <v>56</v>
      </c>
      <c r="AX48" t="n">
        <v>0</v>
      </c>
      <c r="AY48" t="n">
        <v>557</v>
      </c>
      <c r="AZ48" t="n">
        <v>429</v>
      </c>
      <c r="BA48" t="n">
        <v>868</v>
      </c>
      <c r="BB48" t="n">
        <v>141</v>
      </c>
      <c r="BC48" t="n">
        <v>35</v>
      </c>
      <c r="BD48" t="n">
        <v>6</v>
      </c>
      <c r="BE48" t="n">
        <v>1479</v>
      </c>
      <c r="BF48" t="n">
        <v>1640</v>
      </c>
      <c r="BG48" t="n">
        <v>365</v>
      </c>
      <c r="BH48" t="n">
        <v>969</v>
      </c>
      <c r="BI48" t="n">
        <v>16</v>
      </c>
      <c r="BJ48" t="n">
        <v>144</v>
      </c>
      <c r="BK48" t="n">
        <v>5</v>
      </c>
      <c r="BL48" t="n">
        <v>26</v>
      </c>
      <c r="BM48" t="n">
        <v>170</v>
      </c>
      <c r="BN48" t="n">
        <v>0</v>
      </c>
      <c r="BO48" t="n">
        <v>0</v>
      </c>
      <c r="BP48" t="n">
        <v>1657</v>
      </c>
      <c r="BQ48" t="n">
        <v>4627</v>
      </c>
      <c r="BR48" t="n">
        <v>6106</v>
      </c>
      <c r="BS48" t="n">
        <v>75592</v>
      </c>
    </row>
    <row r="49">
      <c r="A49" t="n">
        <v>2023</v>
      </c>
      <c r="B49" t="inlineStr">
        <is>
          <t>Ouest</t>
        </is>
      </c>
      <c r="C49" t="inlineStr">
        <is>
          <t>Centre-Val de Loire</t>
        </is>
      </c>
      <c r="D49" t="inlineStr">
        <is>
          <t>45</t>
        </is>
      </c>
      <c r="E49" t="inlineStr">
        <is>
          <t>Loiret</t>
        </is>
      </c>
      <c r="F49" t="inlineStr">
        <is>
          <t>B</t>
        </is>
      </c>
      <c r="G49" t="n">
        <v>810</v>
      </c>
      <c r="H49" t="n">
        <v>332</v>
      </c>
      <c r="I49" t="n">
        <v>6</v>
      </c>
      <c r="J49" t="n">
        <v>115</v>
      </c>
      <c r="K49" t="n">
        <v>79</v>
      </c>
      <c r="L49" t="n">
        <v>20</v>
      </c>
      <c r="M49" t="n">
        <v>17</v>
      </c>
      <c r="N49" t="n">
        <v>346</v>
      </c>
      <c r="O49" t="n">
        <v>454</v>
      </c>
      <c r="P49" t="n">
        <v>507</v>
      </c>
      <c r="Q49" t="n">
        <v>325</v>
      </c>
      <c r="R49" t="n">
        <v>2679</v>
      </c>
      <c r="S49" t="n">
        <v>391</v>
      </c>
      <c r="T49" t="n">
        <v>3586</v>
      </c>
      <c r="U49" t="n">
        <v>849</v>
      </c>
      <c r="V49" t="n">
        <v>3195</v>
      </c>
      <c r="W49" t="n">
        <v>0</v>
      </c>
      <c r="X49" t="n">
        <v>167</v>
      </c>
      <c r="Y49" t="n">
        <v>6788</v>
      </c>
      <c r="Z49" t="n">
        <v>4192</v>
      </c>
      <c r="AA49" t="n">
        <v>75</v>
      </c>
      <c r="AB49" t="n">
        <v>4336</v>
      </c>
      <c r="AC49" t="n">
        <v>661</v>
      </c>
      <c r="AD49" t="n">
        <v>39</v>
      </c>
      <c r="AE49" t="n">
        <v>0</v>
      </c>
      <c r="AF49" t="n">
        <v>338</v>
      </c>
      <c r="AG49" t="n">
        <v>38</v>
      </c>
      <c r="AH49" t="n">
        <v>1964</v>
      </c>
      <c r="AI49" t="n">
        <v>26581</v>
      </c>
      <c r="AJ49" t="n">
        <v>5917</v>
      </c>
      <c r="AK49" t="n">
        <v>8</v>
      </c>
      <c r="AL49" t="n">
        <v>5925</v>
      </c>
      <c r="AM49" t="n">
        <v>32506</v>
      </c>
      <c r="AN49" t="n">
        <v>2685</v>
      </c>
      <c r="AO49" t="n">
        <v>12</v>
      </c>
      <c r="AP49" t="n">
        <v>4</v>
      </c>
      <c r="AQ49" t="n">
        <v>0</v>
      </c>
      <c r="AR49" t="n">
        <v>0</v>
      </c>
      <c r="AS49" t="n">
        <v>2701</v>
      </c>
      <c r="AT49" t="n">
        <v>238</v>
      </c>
      <c r="AU49" t="n">
        <v>112</v>
      </c>
      <c r="AV49" t="n">
        <v>16</v>
      </c>
      <c r="AW49" t="n">
        <v>4</v>
      </c>
      <c r="AX49" t="n">
        <v>59</v>
      </c>
      <c r="AY49" t="n">
        <v>429</v>
      </c>
      <c r="AZ49" t="n">
        <v>263</v>
      </c>
      <c r="BA49" t="n">
        <v>296</v>
      </c>
      <c r="BB49" t="n">
        <v>72</v>
      </c>
      <c r="BC49" t="n">
        <v>0</v>
      </c>
      <c r="BD49" t="n">
        <v>0</v>
      </c>
      <c r="BE49" t="n">
        <v>631</v>
      </c>
      <c r="BF49" t="n">
        <v>0</v>
      </c>
      <c r="BG49" t="n">
        <v>0</v>
      </c>
      <c r="BH49" t="n">
        <v>382</v>
      </c>
      <c r="BI49" t="n">
        <v>358</v>
      </c>
      <c r="BJ49" t="n">
        <v>801</v>
      </c>
      <c r="BK49" t="n">
        <v>0</v>
      </c>
      <c r="BL49" t="n">
        <v>9</v>
      </c>
      <c r="BM49" t="n">
        <v>82</v>
      </c>
      <c r="BN49" t="n">
        <v>0</v>
      </c>
      <c r="BO49" t="n">
        <v>0</v>
      </c>
      <c r="BP49" t="n">
        <v>341</v>
      </c>
      <c r="BQ49" t="n">
        <v>1973</v>
      </c>
      <c r="BR49" t="n">
        <v>2604</v>
      </c>
      <c r="BS49" t="n">
        <v>40919</v>
      </c>
    </row>
    <row r="50">
      <c r="A50" t="n">
        <v>2023</v>
      </c>
      <c r="B50" t="inlineStr">
        <is>
          <t>Sud</t>
        </is>
      </c>
      <c r="C50" t="inlineStr">
        <is>
          <t>Occitanie</t>
        </is>
      </c>
      <c r="D50" t="inlineStr">
        <is>
          <t>46</t>
        </is>
      </c>
      <c r="E50" t="inlineStr">
        <is>
          <t>Lot</t>
        </is>
      </c>
      <c r="F50" t="inlineStr">
        <is>
          <t>C</t>
        </is>
      </c>
      <c r="G50" t="n">
        <v>245</v>
      </c>
      <c r="H50" t="n">
        <v>147</v>
      </c>
      <c r="I50" t="n">
        <v>5</v>
      </c>
      <c r="J50" t="n">
        <v>6</v>
      </c>
      <c r="K50" t="n">
        <v>4</v>
      </c>
      <c r="L50" t="n">
        <v>2</v>
      </c>
      <c r="M50" t="n">
        <v>17</v>
      </c>
      <c r="N50" t="n">
        <v>100</v>
      </c>
      <c r="O50" t="n">
        <v>89</v>
      </c>
      <c r="P50" t="n">
        <v>126</v>
      </c>
      <c r="Q50" t="n">
        <v>34</v>
      </c>
      <c r="R50" t="n">
        <v>628</v>
      </c>
      <c r="S50" t="n">
        <v>207</v>
      </c>
      <c r="T50" t="n">
        <v>675</v>
      </c>
      <c r="U50" t="n">
        <v>369</v>
      </c>
      <c r="V50" t="n">
        <v>345</v>
      </c>
      <c r="W50" t="n">
        <v>0</v>
      </c>
      <c r="X50" t="n">
        <v>214</v>
      </c>
      <c r="Y50" t="n">
        <v>287</v>
      </c>
      <c r="Z50" t="n">
        <v>2112</v>
      </c>
      <c r="AA50" t="n">
        <v>0</v>
      </c>
      <c r="AB50" t="n">
        <v>973</v>
      </c>
      <c r="AC50" t="n">
        <v>156</v>
      </c>
      <c r="AD50" t="n">
        <v>7</v>
      </c>
      <c r="AE50" t="n">
        <v>0</v>
      </c>
      <c r="AF50" t="n">
        <v>28</v>
      </c>
      <c r="AG50" t="n">
        <v>0</v>
      </c>
      <c r="AH50" t="n">
        <v>2710</v>
      </c>
      <c r="AI50" t="n">
        <v>8083</v>
      </c>
      <c r="AJ50" t="n">
        <v>538</v>
      </c>
      <c r="AK50" t="n">
        <v>7</v>
      </c>
      <c r="AL50" t="n">
        <v>545</v>
      </c>
      <c r="AM50" t="n">
        <v>8628</v>
      </c>
      <c r="AN50" t="n">
        <v>767</v>
      </c>
      <c r="AO50" t="n">
        <v>4</v>
      </c>
      <c r="AP50" t="n">
        <v>0</v>
      </c>
      <c r="AQ50" t="n">
        <v>4</v>
      </c>
      <c r="AR50" t="n">
        <v>0</v>
      </c>
      <c r="AS50" t="n">
        <v>775</v>
      </c>
      <c r="AT50" t="n">
        <v>53</v>
      </c>
      <c r="AU50" t="n">
        <v>5</v>
      </c>
      <c r="AV50" t="n">
        <v>23</v>
      </c>
      <c r="AW50" t="n">
        <v>3</v>
      </c>
      <c r="AX50" t="n">
        <v>0</v>
      </c>
      <c r="AY50" t="n">
        <v>84</v>
      </c>
      <c r="AZ50" t="n">
        <v>95</v>
      </c>
      <c r="BA50" t="n">
        <v>39</v>
      </c>
      <c r="BB50" t="n">
        <v>0</v>
      </c>
      <c r="BC50" t="n">
        <v>53</v>
      </c>
      <c r="BD50" t="n">
        <v>0</v>
      </c>
      <c r="BE50" t="n">
        <v>187</v>
      </c>
      <c r="BF50" t="n">
        <v>319</v>
      </c>
      <c r="BG50" t="n">
        <v>0</v>
      </c>
      <c r="BH50" t="n">
        <v>67</v>
      </c>
      <c r="BI50" t="n">
        <v>57</v>
      </c>
      <c r="BJ50" t="n">
        <v>21</v>
      </c>
      <c r="BK50" t="n">
        <v>0</v>
      </c>
      <c r="BL50" t="n">
        <v>0</v>
      </c>
      <c r="BM50" t="n">
        <v>10</v>
      </c>
      <c r="BN50" t="n">
        <v>1</v>
      </c>
      <c r="BO50" t="n">
        <v>0</v>
      </c>
      <c r="BP50" t="n">
        <v>31</v>
      </c>
      <c r="BQ50" t="n">
        <v>506</v>
      </c>
      <c r="BR50" t="n">
        <v>693</v>
      </c>
      <c r="BS50" t="n">
        <v>10808</v>
      </c>
    </row>
    <row r="51">
      <c r="A51" t="n">
        <v>2023</v>
      </c>
      <c r="B51" t="inlineStr">
        <is>
          <t>Sud-ouest</t>
        </is>
      </c>
      <c r="C51" t="inlineStr">
        <is>
          <t>Nouvelle-Aquitaine</t>
        </is>
      </c>
      <c r="D51" t="inlineStr">
        <is>
          <t>47</t>
        </is>
      </c>
      <c r="E51" t="inlineStr">
        <is>
          <t>Lot-et-Garonne</t>
        </is>
      </c>
      <c r="F51" t="inlineStr">
        <is>
          <t>C</t>
        </is>
      </c>
      <c r="G51" t="n">
        <v>405</v>
      </c>
      <c r="H51" t="n">
        <v>168</v>
      </c>
      <c r="I51" t="n">
        <v>5</v>
      </c>
      <c r="J51" t="n">
        <v>9</v>
      </c>
      <c r="K51" t="n">
        <v>26</v>
      </c>
      <c r="L51" t="n">
        <v>0</v>
      </c>
      <c r="M51" t="n">
        <v>27</v>
      </c>
      <c r="N51" t="n">
        <v>104</v>
      </c>
      <c r="O51" t="n">
        <v>214</v>
      </c>
      <c r="P51" t="n">
        <v>334</v>
      </c>
      <c r="Q51" t="n">
        <v>261</v>
      </c>
      <c r="R51" t="n">
        <v>1385</v>
      </c>
      <c r="S51" t="n">
        <v>357</v>
      </c>
      <c r="T51" t="n">
        <v>3446</v>
      </c>
      <c r="U51" t="n">
        <v>341</v>
      </c>
      <c r="V51" t="n">
        <v>1771</v>
      </c>
      <c r="W51" t="n">
        <v>0</v>
      </c>
      <c r="X51" t="n">
        <v>445</v>
      </c>
      <c r="Y51" t="n">
        <v>2839</v>
      </c>
      <c r="Z51" t="n">
        <v>4558</v>
      </c>
      <c r="AA51" t="n">
        <v>9</v>
      </c>
      <c r="AB51" t="n">
        <v>3239</v>
      </c>
      <c r="AC51" t="n">
        <v>564</v>
      </c>
      <c r="AD51" t="n">
        <v>16</v>
      </c>
      <c r="AE51" t="n">
        <v>0</v>
      </c>
      <c r="AF51" t="n">
        <v>258</v>
      </c>
      <c r="AG51" t="n">
        <v>15</v>
      </c>
      <c r="AH51" t="n">
        <v>823</v>
      </c>
      <c r="AI51" t="n">
        <v>18666</v>
      </c>
      <c r="AJ51" t="n">
        <v>1445</v>
      </c>
      <c r="AK51" t="n">
        <v>15</v>
      </c>
      <c r="AL51" t="n">
        <v>1460</v>
      </c>
      <c r="AM51" t="n">
        <v>20126</v>
      </c>
      <c r="AN51" t="n">
        <v>1628</v>
      </c>
      <c r="AO51" t="n">
        <v>3</v>
      </c>
      <c r="AP51" t="n">
        <v>5</v>
      </c>
      <c r="AQ51" t="n">
        <v>0</v>
      </c>
      <c r="AR51" t="n">
        <v>0</v>
      </c>
      <c r="AS51" t="n">
        <v>1636</v>
      </c>
      <c r="AT51" t="n">
        <v>99</v>
      </c>
      <c r="AU51" t="n">
        <v>118</v>
      </c>
      <c r="AV51" t="n">
        <v>94</v>
      </c>
      <c r="AW51" t="n">
        <v>3</v>
      </c>
      <c r="AX51" t="n">
        <v>0</v>
      </c>
      <c r="AY51" t="n">
        <v>314</v>
      </c>
      <c r="AZ51" t="n">
        <v>96</v>
      </c>
      <c r="BA51" t="n">
        <v>157</v>
      </c>
      <c r="BB51" t="n">
        <v>48</v>
      </c>
      <c r="BC51" t="n">
        <v>2</v>
      </c>
      <c r="BD51" t="n">
        <v>0</v>
      </c>
      <c r="BE51" t="n">
        <v>303</v>
      </c>
      <c r="BF51" t="n">
        <v>111</v>
      </c>
      <c r="BG51" t="n">
        <v>111</v>
      </c>
      <c r="BH51" t="n">
        <v>314</v>
      </c>
      <c r="BI51" t="n">
        <v>166</v>
      </c>
      <c r="BJ51" t="n">
        <v>147</v>
      </c>
      <c r="BK51" t="n">
        <v>0</v>
      </c>
      <c r="BL51" t="n">
        <v>4</v>
      </c>
      <c r="BM51" t="n">
        <v>0</v>
      </c>
      <c r="BN51" t="n">
        <v>43</v>
      </c>
      <c r="BO51" t="n">
        <v>0</v>
      </c>
      <c r="BP51" t="n">
        <v>2054</v>
      </c>
      <c r="BQ51" t="n">
        <v>2839</v>
      </c>
      <c r="BR51" t="n">
        <v>3142</v>
      </c>
      <c r="BS51" t="n">
        <v>26603</v>
      </c>
    </row>
    <row r="52">
      <c r="A52" t="n">
        <v>2023</v>
      </c>
      <c r="B52" t="inlineStr">
        <is>
          <t>Sud</t>
        </is>
      </c>
      <c r="C52" t="inlineStr">
        <is>
          <t>Occitanie</t>
        </is>
      </c>
      <c r="D52" t="inlineStr">
        <is>
          <t>48</t>
        </is>
      </c>
      <c r="E52" t="inlineStr">
        <is>
          <t>Loz�re</t>
        </is>
      </c>
      <c r="F52" t="inlineStr">
        <is>
          <t>C</t>
        </is>
      </c>
      <c r="G52" t="n">
        <v>96</v>
      </c>
      <c r="H52" t="n">
        <v>71</v>
      </c>
      <c r="I52" t="n">
        <v>1</v>
      </c>
      <c r="J52" t="n">
        <v>3</v>
      </c>
      <c r="K52" t="n">
        <v>0</v>
      </c>
      <c r="L52" t="n">
        <v>0</v>
      </c>
      <c r="M52" t="n">
        <v>14</v>
      </c>
      <c r="N52" t="n">
        <v>9</v>
      </c>
      <c r="O52" t="n">
        <v>36</v>
      </c>
      <c r="P52" t="n">
        <v>87</v>
      </c>
      <c r="Q52" t="n">
        <v>149</v>
      </c>
      <c r="R52" t="n">
        <v>395</v>
      </c>
      <c r="S52" t="n">
        <v>97</v>
      </c>
      <c r="T52" t="n">
        <v>858</v>
      </c>
      <c r="U52" t="n">
        <v>185</v>
      </c>
      <c r="V52" t="n">
        <v>885</v>
      </c>
      <c r="W52" t="n">
        <v>0</v>
      </c>
      <c r="X52" t="n">
        <v>34</v>
      </c>
      <c r="Y52" t="n">
        <v>1348</v>
      </c>
      <c r="Z52" t="n">
        <v>610</v>
      </c>
      <c r="AA52" t="n">
        <v>0</v>
      </c>
      <c r="AB52" t="n">
        <v>705</v>
      </c>
      <c r="AC52" t="n">
        <v>0</v>
      </c>
      <c r="AD52" t="n">
        <v>2</v>
      </c>
      <c r="AE52" t="n">
        <v>0</v>
      </c>
      <c r="AF52" t="n">
        <v>2</v>
      </c>
      <c r="AG52" t="n">
        <v>1</v>
      </c>
      <c r="AH52" t="n">
        <v>1</v>
      </c>
      <c r="AI52" t="n">
        <v>4727</v>
      </c>
      <c r="AJ52" t="n">
        <v>47</v>
      </c>
      <c r="AK52" t="n">
        <v>3</v>
      </c>
      <c r="AL52" t="n">
        <v>50</v>
      </c>
      <c r="AM52" t="n">
        <v>4777</v>
      </c>
      <c r="AN52" t="n">
        <v>404</v>
      </c>
      <c r="AO52" t="n">
        <v>0</v>
      </c>
      <c r="AP52" t="n">
        <v>1</v>
      </c>
      <c r="AQ52" t="n">
        <v>0</v>
      </c>
      <c r="AR52" t="n">
        <v>0</v>
      </c>
      <c r="AS52" t="n">
        <v>405</v>
      </c>
      <c r="AT52" t="n">
        <v>37</v>
      </c>
      <c r="AU52" t="n">
        <v>0</v>
      </c>
      <c r="AV52" t="n">
        <v>0</v>
      </c>
      <c r="AW52" t="n">
        <v>5</v>
      </c>
      <c r="AX52" t="n">
        <v>0</v>
      </c>
      <c r="AY52" t="n">
        <v>42</v>
      </c>
      <c r="AZ52" t="n">
        <v>24</v>
      </c>
      <c r="BA52" t="n">
        <v>37</v>
      </c>
      <c r="BB52" t="n">
        <v>13</v>
      </c>
      <c r="BC52" t="n">
        <v>0</v>
      </c>
      <c r="BD52" t="n">
        <v>0</v>
      </c>
      <c r="BE52" t="n">
        <v>74</v>
      </c>
      <c r="BF52" t="n">
        <v>1</v>
      </c>
      <c r="BG52" t="n">
        <v>0</v>
      </c>
      <c r="BH52" t="n">
        <v>43</v>
      </c>
      <c r="BI52" t="n">
        <v>3</v>
      </c>
      <c r="BJ52" t="n">
        <v>0</v>
      </c>
      <c r="BK52" t="n">
        <v>0</v>
      </c>
      <c r="BL52" t="n">
        <v>0</v>
      </c>
      <c r="BM52" t="n">
        <v>0</v>
      </c>
      <c r="BN52" t="n">
        <v>13</v>
      </c>
      <c r="BO52" t="n">
        <v>0</v>
      </c>
      <c r="BP52" t="n">
        <v>0</v>
      </c>
      <c r="BQ52" t="n">
        <v>60</v>
      </c>
      <c r="BR52" t="n">
        <v>134</v>
      </c>
      <c r="BS52" t="n">
        <v>5753</v>
      </c>
    </row>
    <row r="53">
      <c r="A53" t="n">
        <v>2023</v>
      </c>
      <c r="B53" t="inlineStr">
        <is>
          <t>Ouest</t>
        </is>
      </c>
      <c r="C53" t="inlineStr">
        <is>
          <t>Pays de la Loire</t>
        </is>
      </c>
      <c r="D53" t="inlineStr">
        <is>
          <t>49</t>
        </is>
      </c>
      <c r="E53" t="inlineStr">
        <is>
          <t>Maine-et-Loire</t>
        </is>
      </c>
      <c r="F53" t="inlineStr">
        <is>
          <t>B</t>
        </is>
      </c>
      <c r="G53" t="n">
        <v>825</v>
      </c>
      <c r="H53" t="n">
        <v>265</v>
      </c>
      <c r="I53" t="n">
        <v>0</v>
      </c>
      <c r="J53" t="n">
        <v>79</v>
      </c>
      <c r="K53" t="n">
        <v>103</v>
      </c>
      <c r="L53" t="n">
        <v>0</v>
      </c>
      <c r="M53" t="n">
        <v>34</v>
      </c>
      <c r="N53" t="n">
        <v>328</v>
      </c>
      <c r="O53" t="n">
        <v>592</v>
      </c>
      <c r="P53" t="n">
        <v>498</v>
      </c>
      <c r="Q53" t="n">
        <v>547</v>
      </c>
      <c r="R53" t="n">
        <v>3006</v>
      </c>
      <c r="S53" t="n">
        <v>147</v>
      </c>
      <c r="T53" t="n">
        <v>2729</v>
      </c>
      <c r="U53" t="n">
        <v>0</v>
      </c>
      <c r="V53" t="n">
        <v>4084</v>
      </c>
      <c r="W53" t="n">
        <v>0</v>
      </c>
      <c r="X53" t="n">
        <v>369</v>
      </c>
      <c r="Y53" t="n">
        <v>5346</v>
      </c>
      <c r="Z53" t="n">
        <v>1758</v>
      </c>
      <c r="AA53" t="n">
        <v>0</v>
      </c>
      <c r="AB53" t="n">
        <v>6004</v>
      </c>
      <c r="AC53" t="n">
        <v>86</v>
      </c>
      <c r="AD53" t="n">
        <v>44</v>
      </c>
      <c r="AE53" t="n">
        <v>0</v>
      </c>
      <c r="AF53" t="n">
        <v>272</v>
      </c>
      <c r="AG53" t="n">
        <v>21</v>
      </c>
      <c r="AH53" t="n">
        <v>5243</v>
      </c>
      <c r="AI53" t="n">
        <v>26082</v>
      </c>
      <c r="AJ53" t="n">
        <v>4423</v>
      </c>
      <c r="AK53" t="n">
        <v>0</v>
      </c>
      <c r="AL53" t="n">
        <v>4423</v>
      </c>
      <c r="AM53" t="n">
        <v>30505</v>
      </c>
      <c r="AN53" t="n">
        <v>3532</v>
      </c>
      <c r="AO53" t="n">
        <v>10</v>
      </c>
      <c r="AP53" t="n">
        <v>3</v>
      </c>
      <c r="AQ53" t="n">
        <v>11</v>
      </c>
      <c r="AR53" t="n">
        <v>0</v>
      </c>
      <c r="AS53" t="n">
        <v>3556</v>
      </c>
      <c r="AT53" t="n">
        <v>229</v>
      </c>
      <c r="AU53" t="n">
        <v>27</v>
      </c>
      <c r="AV53" t="n">
        <v>0</v>
      </c>
      <c r="AW53" t="n">
        <v>18</v>
      </c>
      <c r="AX53" t="n">
        <v>0</v>
      </c>
      <c r="AY53" t="n">
        <v>274</v>
      </c>
      <c r="AZ53" t="n">
        <v>150</v>
      </c>
      <c r="BA53" t="n">
        <v>3</v>
      </c>
      <c r="BB53" t="n">
        <v>474</v>
      </c>
      <c r="BC53" t="n">
        <v>0</v>
      </c>
      <c r="BD53" t="n">
        <v>0</v>
      </c>
      <c r="BE53" t="n">
        <v>627</v>
      </c>
      <c r="BF53" t="n">
        <v>152</v>
      </c>
      <c r="BG53" t="n">
        <v>152</v>
      </c>
      <c r="BH53" t="n">
        <v>515</v>
      </c>
      <c r="BI53" t="n">
        <v>45</v>
      </c>
      <c r="BJ53" t="n">
        <v>775</v>
      </c>
      <c r="BK53" t="n">
        <v>9</v>
      </c>
      <c r="BL53" t="n">
        <v>5</v>
      </c>
      <c r="BM53" t="n">
        <v>117</v>
      </c>
      <c r="BN53" t="n">
        <v>0</v>
      </c>
      <c r="BO53" t="n">
        <v>0</v>
      </c>
      <c r="BP53" t="n">
        <v>934</v>
      </c>
      <c r="BQ53" t="n">
        <v>2552</v>
      </c>
      <c r="BR53" t="n">
        <v>3179</v>
      </c>
      <c r="BS53" t="n">
        <v>40520</v>
      </c>
    </row>
    <row r="54">
      <c r="A54" t="n">
        <v>2023</v>
      </c>
      <c r="B54" t="inlineStr">
        <is>
          <t>Ouest</t>
        </is>
      </c>
      <c r="C54" t="inlineStr">
        <is>
          <t>Normandie</t>
        </is>
      </c>
      <c r="D54" t="inlineStr">
        <is>
          <t>50</t>
        </is>
      </c>
      <c r="E54" t="inlineStr">
        <is>
          <t>Manche</t>
        </is>
      </c>
      <c r="F54" t="inlineStr">
        <is>
          <t>B</t>
        </is>
      </c>
      <c r="G54" t="n">
        <v>646</v>
      </c>
      <c r="H54" t="n">
        <v>388</v>
      </c>
      <c r="I54" t="n">
        <v>9</v>
      </c>
      <c r="J54" t="n">
        <v>14</v>
      </c>
      <c r="K54" t="n">
        <v>22</v>
      </c>
      <c r="L54" t="n">
        <v>0</v>
      </c>
      <c r="M54" t="n">
        <v>30</v>
      </c>
      <c r="N54" t="n">
        <v>106</v>
      </c>
      <c r="O54" t="n">
        <v>266</v>
      </c>
      <c r="P54" t="n">
        <v>119</v>
      </c>
      <c r="Q54" t="n">
        <v>477</v>
      </c>
      <c r="R54" t="n">
        <v>1689</v>
      </c>
      <c r="S54" t="n">
        <v>358</v>
      </c>
      <c r="T54" t="n">
        <v>1366</v>
      </c>
      <c r="U54" t="n">
        <v>203</v>
      </c>
      <c r="V54" t="n">
        <v>4205</v>
      </c>
      <c r="W54" t="n">
        <v>0</v>
      </c>
      <c r="X54" t="n">
        <v>426</v>
      </c>
      <c r="Y54" t="n">
        <v>6814</v>
      </c>
      <c r="Z54" t="n">
        <v>4036</v>
      </c>
      <c r="AA54" t="n">
        <v>55</v>
      </c>
      <c r="AB54" t="n">
        <v>5275</v>
      </c>
      <c r="AC54" t="n">
        <v>1516</v>
      </c>
      <c r="AD54" t="n">
        <v>12</v>
      </c>
      <c r="AE54" t="n">
        <v>4</v>
      </c>
      <c r="AF54" t="n">
        <v>24</v>
      </c>
      <c r="AG54" t="n">
        <v>9</v>
      </c>
      <c r="AH54" t="n">
        <v>1317</v>
      </c>
      <c r="AI54" t="n">
        <v>25611</v>
      </c>
      <c r="AJ54" t="n">
        <v>2983</v>
      </c>
      <c r="AK54" t="n">
        <v>1204</v>
      </c>
      <c r="AL54" t="n">
        <v>4187</v>
      </c>
      <c r="AM54" t="n">
        <v>29798</v>
      </c>
      <c r="AN54" t="n">
        <v>2320</v>
      </c>
      <c r="AO54" t="n">
        <v>0</v>
      </c>
      <c r="AP54" t="n">
        <v>2</v>
      </c>
      <c r="AQ54" t="n">
        <v>6</v>
      </c>
      <c r="AR54" t="n">
        <v>0</v>
      </c>
      <c r="AS54" t="n">
        <v>2328</v>
      </c>
      <c r="AT54" t="n">
        <v>109</v>
      </c>
      <c r="AU54" t="n">
        <v>387</v>
      </c>
      <c r="AV54" t="n">
        <v>371</v>
      </c>
      <c r="AW54" t="n">
        <v>33</v>
      </c>
      <c r="AX54" t="n">
        <v>0</v>
      </c>
      <c r="AY54" t="n">
        <v>900</v>
      </c>
      <c r="AZ54" t="n">
        <v>429</v>
      </c>
      <c r="BA54" t="n">
        <v>601</v>
      </c>
      <c r="BB54" t="n">
        <v>160</v>
      </c>
      <c r="BC54" t="n">
        <v>0</v>
      </c>
      <c r="BD54" t="n">
        <v>0</v>
      </c>
      <c r="BE54" t="n">
        <v>1190</v>
      </c>
      <c r="BF54" t="n">
        <v>1</v>
      </c>
      <c r="BG54" t="n">
        <v>0</v>
      </c>
      <c r="BH54" t="n">
        <v>463</v>
      </c>
      <c r="BI54" t="n">
        <v>359</v>
      </c>
      <c r="BJ54" t="n">
        <v>940</v>
      </c>
      <c r="BK54" t="n">
        <v>0</v>
      </c>
      <c r="BL54" t="n">
        <v>82</v>
      </c>
      <c r="BM54" t="n">
        <v>3748</v>
      </c>
      <c r="BN54" t="n">
        <v>32</v>
      </c>
      <c r="BO54" t="n">
        <v>8</v>
      </c>
      <c r="BP54" t="n">
        <v>755</v>
      </c>
      <c r="BQ54" t="n">
        <v>6388</v>
      </c>
      <c r="BR54" t="n">
        <v>7578</v>
      </c>
      <c r="BS54" t="n">
        <v>42293</v>
      </c>
    </row>
    <row r="55">
      <c r="A55" t="n">
        <v>2023</v>
      </c>
      <c r="B55" t="inlineStr">
        <is>
          <t>Est</t>
        </is>
      </c>
      <c r="C55" t="inlineStr">
        <is>
          <t>Grand Est</t>
        </is>
      </c>
      <c r="D55" t="inlineStr">
        <is>
          <t>51</t>
        </is>
      </c>
      <c r="E55" t="inlineStr">
        <is>
          <t>Marne</t>
        </is>
      </c>
      <c r="F55" t="inlineStr">
        <is>
          <t>B</t>
        </is>
      </c>
      <c r="G55" t="n">
        <v>273</v>
      </c>
      <c r="H55" t="n">
        <v>196</v>
      </c>
      <c r="I55" t="n">
        <v>18</v>
      </c>
      <c r="J55" t="n">
        <v>42</v>
      </c>
      <c r="K55" t="n">
        <v>38</v>
      </c>
      <c r="L55" t="n">
        <v>7</v>
      </c>
      <c r="M55" t="n">
        <v>23</v>
      </c>
      <c r="N55" t="n">
        <v>645</v>
      </c>
      <c r="O55" t="n">
        <v>518</v>
      </c>
      <c r="P55" t="n">
        <v>379</v>
      </c>
      <c r="Q55" t="n">
        <v>260</v>
      </c>
      <c r="R55" t="n">
        <v>2203</v>
      </c>
      <c r="S55" t="n">
        <v>709</v>
      </c>
      <c r="T55" t="n">
        <v>3408</v>
      </c>
      <c r="U55" t="n">
        <v>651</v>
      </c>
      <c r="V55" t="n">
        <v>2997</v>
      </c>
      <c r="W55" t="n">
        <v>0</v>
      </c>
      <c r="X55" t="n">
        <v>695</v>
      </c>
      <c r="Y55" t="n">
        <v>8891</v>
      </c>
      <c r="Z55" t="n">
        <v>1823</v>
      </c>
      <c r="AA55" t="n">
        <v>52</v>
      </c>
      <c r="AB55" t="n">
        <v>3939</v>
      </c>
      <c r="AC55" t="n">
        <v>530</v>
      </c>
      <c r="AD55" t="n">
        <v>8</v>
      </c>
      <c r="AE55" t="n">
        <v>0</v>
      </c>
      <c r="AF55" t="n">
        <v>69</v>
      </c>
      <c r="AG55" t="n">
        <v>33</v>
      </c>
      <c r="AH55" t="n">
        <v>1369</v>
      </c>
      <c r="AI55" t="n">
        <v>25141</v>
      </c>
      <c r="AJ55" t="n">
        <v>2409</v>
      </c>
      <c r="AK55" t="n">
        <v>83</v>
      </c>
      <c r="AL55" t="n">
        <v>2492</v>
      </c>
      <c r="AM55" t="n">
        <v>27633</v>
      </c>
      <c r="AN55" t="n">
        <v>1898</v>
      </c>
      <c r="AO55" t="n">
        <v>7</v>
      </c>
      <c r="AP55" t="n">
        <v>6</v>
      </c>
      <c r="AQ55" t="n">
        <v>4</v>
      </c>
      <c r="AR55" t="n">
        <v>0</v>
      </c>
      <c r="AS55" t="n">
        <v>1915</v>
      </c>
      <c r="AT55" t="n">
        <v>130</v>
      </c>
      <c r="AU55" t="n">
        <v>93</v>
      </c>
      <c r="AV55" t="n">
        <v>46</v>
      </c>
      <c r="AW55" t="n">
        <v>11</v>
      </c>
      <c r="AX55" t="n">
        <v>54</v>
      </c>
      <c r="AY55" t="n">
        <v>334</v>
      </c>
      <c r="AZ55" t="n">
        <v>469</v>
      </c>
      <c r="BA55" t="n">
        <v>150</v>
      </c>
      <c r="BB55" t="n">
        <v>180</v>
      </c>
      <c r="BC55" t="n">
        <v>3</v>
      </c>
      <c r="BD55" t="n">
        <v>4</v>
      </c>
      <c r="BE55" t="n">
        <v>806</v>
      </c>
      <c r="BF55" t="n">
        <v>177</v>
      </c>
      <c r="BG55" t="n">
        <v>123</v>
      </c>
      <c r="BH55" t="n">
        <v>205</v>
      </c>
      <c r="BI55" t="n">
        <v>405</v>
      </c>
      <c r="BJ55" t="n">
        <v>2</v>
      </c>
      <c r="BK55" t="n">
        <v>0</v>
      </c>
      <c r="BL55" t="n">
        <v>10</v>
      </c>
      <c r="BM55" t="n">
        <v>65</v>
      </c>
      <c r="BN55" t="n">
        <v>0</v>
      </c>
      <c r="BO55" t="n">
        <v>1</v>
      </c>
      <c r="BP55" t="n">
        <v>824</v>
      </c>
      <c r="BQ55" t="n">
        <v>1689</v>
      </c>
      <c r="BR55" t="n">
        <v>2495</v>
      </c>
      <c r="BS55" t="n">
        <v>34580</v>
      </c>
    </row>
    <row r="56">
      <c r="A56" t="n">
        <v>2023</v>
      </c>
      <c r="B56" t="inlineStr">
        <is>
          <t>Est</t>
        </is>
      </c>
      <c r="C56" t="inlineStr">
        <is>
          <t>Grand Est</t>
        </is>
      </c>
      <c r="D56" t="inlineStr">
        <is>
          <t>52</t>
        </is>
      </c>
      <c r="E56" t="inlineStr">
        <is>
          <t>Haute-Marne</t>
        </is>
      </c>
      <c r="F56" t="inlineStr">
        <is>
          <t>C</t>
        </is>
      </c>
      <c r="G56" t="n">
        <v>504</v>
      </c>
      <c r="H56" t="n">
        <v>186</v>
      </c>
      <c r="I56" t="n">
        <v>325</v>
      </c>
      <c r="J56" t="n">
        <v>248</v>
      </c>
      <c r="K56" t="n">
        <v>17</v>
      </c>
      <c r="L56" t="n">
        <v>1</v>
      </c>
      <c r="M56" t="n">
        <v>30</v>
      </c>
      <c r="N56" t="n">
        <v>81</v>
      </c>
      <c r="O56" t="n">
        <v>180</v>
      </c>
      <c r="P56" t="n">
        <v>201</v>
      </c>
      <c r="Q56" t="n">
        <v>105</v>
      </c>
      <c r="R56" t="n">
        <v>1692</v>
      </c>
      <c r="S56" t="n">
        <v>18</v>
      </c>
      <c r="T56" t="n">
        <v>286</v>
      </c>
      <c r="U56" t="n">
        <v>42</v>
      </c>
      <c r="V56" t="n">
        <v>102</v>
      </c>
      <c r="W56" t="n">
        <v>0</v>
      </c>
      <c r="X56" t="n">
        <v>57</v>
      </c>
      <c r="Y56" t="n">
        <v>4666</v>
      </c>
      <c r="Z56" t="n">
        <v>385</v>
      </c>
      <c r="AA56" t="n">
        <v>5</v>
      </c>
      <c r="AB56" t="n">
        <v>1112</v>
      </c>
      <c r="AC56" t="n">
        <v>373</v>
      </c>
      <c r="AD56" t="n">
        <v>3</v>
      </c>
      <c r="AE56" t="n">
        <v>0</v>
      </c>
      <c r="AF56" t="n">
        <v>8</v>
      </c>
      <c r="AG56" t="n">
        <v>7</v>
      </c>
      <c r="AH56" t="n">
        <v>422</v>
      </c>
      <c r="AI56" t="n">
        <v>7479</v>
      </c>
      <c r="AJ56" t="n">
        <v>0</v>
      </c>
      <c r="AK56" t="n">
        <v>0</v>
      </c>
      <c r="AL56" t="n">
        <v>0</v>
      </c>
      <c r="AM56" t="n">
        <v>7479</v>
      </c>
      <c r="AN56" t="n">
        <v>838</v>
      </c>
      <c r="AO56" t="n">
        <v>7</v>
      </c>
      <c r="AP56" t="n">
        <v>2</v>
      </c>
      <c r="AQ56" t="n">
        <v>1</v>
      </c>
      <c r="AR56" t="n">
        <v>0</v>
      </c>
      <c r="AS56" t="n">
        <v>848</v>
      </c>
      <c r="AT56" t="n">
        <v>77</v>
      </c>
      <c r="AU56" t="n">
        <v>32</v>
      </c>
      <c r="AV56" t="n">
        <v>0</v>
      </c>
      <c r="AW56" t="n">
        <v>15</v>
      </c>
      <c r="AX56" t="n">
        <v>8</v>
      </c>
      <c r="AY56" t="n">
        <v>132</v>
      </c>
      <c r="AZ56" t="n">
        <v>61</v>
      </c>
      <c r="BA56" t="n">
        <v>98</v>
      </c>
      <c r="BB56" t="n">
        <v>12</v>
      </c>
      <c r="BC56" t="n">
        <v>0</v>
      </c>
      <c r="BD56" t="n">
        <v>0</v>
      </c>
      <c r="BE56" t="n">
        <v>171</v>
      </c>
      <c r="BF56" t="n">
        <v>0</v>
      </c>
      <c r="BG56" t="n">
        <v>0</v>
      </c>
      <c r="BH56" t="n">
        <v>148</v>
      </c>
      <c r="BI56" t="n">
        <v>5</v>
      </c>
      <c r="BJ56" t="n">
        <v>15</v>
      </c>
      <c r="BK56" t="n">
        <v>0</v>
      </c>
      <c r="BL56" t="n">
        <v>0</v>
      </c>
      <c r="BM56" t="n">
        <v>29</v>
      </c>
      <c r="BN56" t="n">
        <v>18</v>
      </c>
      <c r="BO56" t="n">
        <v>1</v>
      </c>
      <c r="BP56" t="n">
        <v>280</v>
      </c>
      <c r="BQ56" t="n">
        <v>496</v>
      </c>
      <c r="BR56" t="n">
        <v>667</v>
      </c>
      <c r="BS56" t="n">
        <v>10818</v>
      </c>
    </row>
    <row r="57">
      <c r="A57" t="n">
        <v>2023</v>
      </c>
      <c r="B57" t="inlineStr">
        <is>
          <t>Ouest</t>
        </is>
      </c>
      <c r="C57" t="inlineStr">
        <is>
          <t>Pays de la Loire</t>
        </is>
      </c>
      <c r="D57" t="inlineStr">
        <is>
          <t>53</t>
        </is>
      </c>
      <c r="E57" t="inlineStr">
        <is>
          <t>Mayenne</t>
        </is>
      </c>
      <c r="F57" t="inlineStr">
        <is>
          <t>C</t>
        </is>
      </c>
      <c r="G57" t="n">
        <v>299</v>
      </c>
      <c r="H57" t="n">
        <v>150</v>
      </c>
      <c r="I57" t="n">
        <v>2</v>
      </c>
      <c r="J57" t="n">
        <v>16</v>
      </c>
      <c r="K57" t="n">
        <v>24</v>
      </c>
      <c r="L57" t="n">
        <v>9</v>
      </c>
      <c r="M57" t="n">
        <v>42</v>
      </c>
      <c r="N57" t="n">
        <v>77</v>
      </c>
      <c r="O57" t="n">
        <v>154</v>
      </c>
      <c r="P57" t="n">
        <v>198</v>
      </c>
      <c r="Q57" t="n">
        <v>210</v>
      </c>
      <c r="R57" t="n">
        <v>1031</v>
      </c>
      <c r="S57" t="n">
        <v>301</v>
      </c>
      <c r="T57" t="n">
        <v>1115</v>
      </c>
      <c r="U57" t="n">
        <v>194</v>
      </c>
      <c r="V57" t="n">
        <v>1432</v>
      </c>
      <c r="W57" t="n">
        <v>0</v>
      </c>
      <c r="X57" t="n">
        <v>178</v>
      </c>
      <c r="Y57" t="n">
        <v>4704</v>
      </c>
      <c r="Z57" t="n">
        <v>666</v>
      </c>
      <c r="AA57" t="n">
        <v>14</v>
      </c>
      <c r="AB57" t="n">
        <v>3070</v>
      </c>
      <c r="AC57" t="n">
        <v>770</v>
      </c>
      <c r="AD57" t="n">
        <v>21</v>
      </c>
      <c r="AE57" t="n">
        <v>0</v>
      </c>
      <c r="AF57" t="n">
        <v>11</v>
      </c>
      <c r="AG57" t="n">
        <v>11</v>
      </c>
      <c r="AH57" t="n">
        <v>0</v>
      </c>
      <c r="AI57" t="n">
        <v>12476</v>
      </c>
      <c r="AJ57" t="n">
        <v>838</v>
      </c>
      <c r="AK57" t="n">
        <v>1124</v>
      </c>
      <c r="AL57" t="n">
        <v>1962</v>
      </c>
      <c r="AM57" t="n">
        <v>14438</v>
      </c>
      <c r="AN57" t="n">
        <v>1273</v>
      </c>
      <c r="AO57" t="n">
        <v>2</v>
      </c>
      <c r="AP57" t="n">
        <v>0</v>
      </c>
      <c r="AQ57" t="n">
        <v>1</v>
      </c>
      <c r="AR57" t="n">
        <v>0</v>
      </c>
      <c r="AS57" t="n">
        <v>1276</v>
      </c>
      <c r="AT57" t="n">
        <v>86</v>
      </c>
      <c r="AU57" t="n">
        <v>37</v>
      </c>
      <c r="AV57" t="n">
        <v>48</v>
      </c>
      <c r="AW57" t="n">
        <v>10</v>
      </c>
      <c r="AX57" t="n">
        <v>0</v>
      </c>
      <c r="AY57" t="n">
        <v>181</v>
      </c>
      <c r="AZ57" t="n">
        <v>50</v>
      </c>
      <c r="BA57" t="n">
        <v>180</v>
      </c>
      <c r="BB57" t="n">
        <v>0</v>
      </c>
      <c r="BC57" t="n">
        <v>0</v>
      </c>
      <c r="BD57" t="n">
        <v>0</v>
      </c>
      <c r="BE57" t="n">
        <v>230</v>
      </c>
      <c r="BF57" t="n">
        <v>89</v>
      </c>
      <c r="BG57" t="n">
        <v>89</v>
      </c>
      <c r="BH57" t="n">
        <v>117</v>
      </c>
      <c r="BI57" t="n">
        <v>0</v>
      </c>
      <c r="BJ57" t="n">
        <v>71</v>
      </c>
      <c r="BK57" t="n">
        <v>0</v>
      </c>
      <c r="BL57" t="n">
        <v>3</v>
      </c>
      <c r="BM57" t="n">
        <v>0</v>
      </c>
      <c r="BN57" t="n">
        <v>0</v>
      </c>
      <c r="BO57" t="n">
        <v>16</v>
      </c>
      <c r="BP57" t="n">
        <v>271</v>
      </c>
      <c r="BQ57" t="n">
        <v>567</v>
      </c>
      <c r="BR57" t="n">
        <v>797</v>
      </c>
      <c r="BS57" t="n">
        <v>17723</v>
      </c>
    </row>
    <row r="58">
      <c r="A58" t="n">
        <v>2023</v>
      </c>
      <c r="B58" t="inlineStr">
        <is>
          <t>Est</t>
        </is>
      </c>
      <c r="C58" t="inlineStr">
        <is>
          <t>Grand Est</t>
        </is>
      </c>
      <c r="D58" t="inlineStr">
        <is>
          <t>54</t>
        </is>
      </c>
      <c r="E58" t="inlineStr">
        <is>
          <t>Meurthe-et-Moselle</t>
        </is>
      </c>
      <c r="F58" t="inlineStr">
        <is>
          <t>B</t>
        </is>
      </c>
      <c r="G58" t="n">
        <v>1006</v>
      </c>
      <c r="H58" t="n">
        <v>188</v>
      </c>
      <c r="I58" t="n">
        <v>38</v>
      </c>
      <c r="J58" t="n">
        <v>103</v>
      </c>
      <c r="K58" t="n">
        <v>45</v>
      </c>
      <c r="L58" t="n">
        <v>3</v>
      </c>
      <c r="M58" t="n">
        <v>19</v>
      </c>
      <c r="N58" t="n">
        <v>790</v>
      </c>
      <c r="O58" t="n">
        <v>539</v>
      </c>
      <c r="P58" t="n">
        <v>465</v>
      </c>
      <c r="Q58" t="n">
        <v>109</v>
      </c>
      <c r="R58" t="n">
        <v>3117</v>
      </c>
      <c r="S58" t="n">
        <v>479</v>
      </c>
      <c r="T58" t="n">
        <v>3495</v>
      </c>
      <c r="U58" t="n">
        <v>14</v>
      </c>
      <c r="V58" t="n">
        <v>4478</v>
      </c>
      <c r="W58" t="n">
        <v>0</v>
      </c>
      <c r="X58" t="n">
        <v>469</v>
      </c>
      <c r="Y58" t="n">
        <v>10503</v>
      </c>
      <c r="Z58" t="n">
        <v>2951</v>
      </c>
      <c r="AA58" t="n">
        <v>0</v>
      </c>
      <c r="AB58" t="n">
        <v>7206</v>
      </c>
      <c r="AC58" t="n">
        <v>555</v>
      </c>
      <c r="AD58" t="n">
        <v>21</v>
      </c>
      <c r="AE58" t="n">
        <v>0</v>
      </c>
      <c r="AF58" t="n">
        <v>46</v>
      </c>
      <c r="AG58" t="n">
        <v>45</v>
      </c>
      <c r="AH58" t="n">
        <v>560</v>
      </c>
      <c r="AI58" t="n">
        <v>30777</v>
      </c>
      <c r="AJ58" t="n">
        <v>4896</v>
      </c>
      <c r="AK58" t="n">
        <v>8</v>
      </c>
      <c r="AL58" t="n">
        <v>4904</v>
      </c>
      <c r="AM58" t="n">
        <v>35681</v>
      </c>
      <c r="AN58" t="n">
        <v>2384</v>
      </c>
      <c r="AO58" t="n">
        <v>10</v>
      </c>
      <c r="AP58" t="n">
        <v>1</v>
      </c>
      <c r="AQ58" t="n">
        <v>0</v>
      </c>
      <c r="AR58" t="n">
        <v>0</v>
      </c>
      <c r="AS58" t="n">
        <v>2395</v>
      </c>
      <c r="AT58" t="n">
        <v>350</v>
      </c>
      <c r="AU58" t="n">
        <v>189</v>
      </c>
      <c r="AV58" t="n">
        <v>133</v>
      </c>
      <c r="AW58" t="n">
        <v>63</v>
      </c>
      <c r="AX58" t="n">
        <v>0</v>
      </c>
      <c r="AY58" t="n">
        <v>735</v>
      </c>
      <c r="AZ58" t="n">
        <v>848</v>
      </c>
      <c r="BA58" t="n">
        <v>87</v>
      </c>
      <c r="BB58" t="n">
        <v>225</v>
      </c>
      <c r="BC58" t="n">
        <v>0</v>
      </c>
      <c r="BD58" t="n">
        <v>0</v>
      </c>
      <c r="BE58" t="n">
        <v>1160</v>
      </c>
      <c r="BF58" t="n">
        <v>573</v>
      </c>
      <c r="BG58" t="n">
        <v>0</v>
      </c>
      <c r="BH58" t="n">
        <v>426</v>
      </c>
      <c r="BI58" t="n">
        <v>256</v>
      </c>
      <c r="BJ58" t="n">
        <v>6</v>
      </c>
      <c r="BK58" t="n">
        <v>0</v>
      </c>
      <c r="BL58" t="n">
        <v>5</v>
      </c>
      <c r="BM58" t="n">
        <v>99</v>
      </c>
      <c r="BN58" t="n">
        <v>2</v>
      </c>
      <c r="BO58" t="n">
        <v>0</v>
      </c>
      <c r="BP58" t="n">
        <v>39</v>
      </c>
      <c r="BQ58" t="n">
        <v>1406</v>
      </c>
      <c r="BR58" t="n">
        <v>2566</v>
      </c>
      <c r="BS58" t="n">
        <v>44494</v>
      </c>
    </row>
    <row r="59">
      <c r="A59" t="n">
        <v>2023</v>
      </c>
      <c r="B59" t="inlineStr">
        <is>
          <t>Est</t>
        </is>
      </c>
      <c r="C59" t="inlineStr">
        <is>
          <t>Grand Est</t>
        </is>
      </c>
      <c r="D59" t="inlineStr">
        <is>
          <t>55</t>
        </is>
      </c>
      <c r="E59" t="inlineStr">
        <is>
          <t>Meuse</t>
        </is>
      </c>
      <c r="F59" t="inlineStr">
        <is>
          <t>C</t>
        </is>
      </c>
      <c r="G59" t="n">
        <v>282</v>
      </c>
      <c r="H59" t="n">
        <v>147</v>
      </c>
      <c r="I59" t="n">
        <v>0</v>
      </c>
      <c r="J59" t="n">
        <v>6</v>
      </c>
      <c r="K59" t="n">
        <v>2</v>
      </c>
      <c r="L59" t="n">
        <v>5</v>
      </c>
      <c r="M59" t="n">
        <v>18</v>
      </c>
      <c r="N59" t="n">
        <v>87</v>
      </c>
      <c r="O59" t="n">
        <v>122</v>
      </c>
      <c r="P59" t="n">
        <v>146</v>
      </c>
      <c r="Q59" t="n">
        <v>99</v>
      </c>
      <c r="R59" t="n">
        <v>767</v>
      </c>
      <c r="S59" t="n">
        <v>1</v>
      </c>
      <c r="T59" t="n">
        <v>126</v>
      </c>
      <c r="U59" t="n">
        <v>0</v>
      </c>
      <c r="V59" t="n">
        <v>750</v>
      </c>
      <c r="W59" t="n">
        <v>0</v>
      </c>
      <c r="X59" t="n">
        <v>0</v>
      </c>
      <c r="Y59" t="n">
        <v>5193</v>
      </c>
      <c r="Z59" t="n">
        <v>3070</v>
      </c>
      <c r="AA59" t="n">
        <v>0</v>
      </c>
      <c r="AB59" t="n">
        <v>735</v>
      </c>
      <c r="AC59" t="n">
        <v>226</v>
      </c>
      <c r="AD59" t="n">
        <v>6</v>
      </c>
      <c r="AE59" t="n">
        <v>0</v>
      </c>
      <c r="AF59" t="n">
        <v>15</v>
      </c>
      <c r="AG59" t="n">
        <v>14</v>
      </c>
      <c r="AH59" t="n">
        <v>0</v>
      </c>
      <c r="AI59" t="n">
        <v>10122</v>
      </c>
      <c r="AJ59" t="n">
        <v>2511</v>
      </c>
      <c r="AK59" t="n">
        <v>0</v>
      </c>
      <c r="AL59" t="n">
        <v>2511</v>
      </c>
      <c r="AM59" t="n">
        <v>12633</v>
      </c>
      <c r="AN59" t="n">
        <v>740</v>
      </c>
      <c r="AO59" t="n">
        <v>2</v>
      </c>
      <c r="AP59" t="n">
        <v>3</v>
      </c>
      <c r="AQ59" t="n">
        <v>0</v>
      </c>
      <c r="AR59" t="n">
        <v>0</v>
      </c>
      <c r="AS59" t="n">
        <v>745</v>
      </c>
      <c r="AT59" t="n">
        <v>97</v>
      </c>
      <c r="AU59" t="n">
        <v>137</v>
      </c>
      <c r="AV59" t="n">
        <v>60</v>
      </c>
      <c r="AW59" t="n">
        <v>23</v>
      </c>
      <c r="AX59" t="n">
        <v>0</v>
      </c>
      <c r="AY59" t="n">
        <v>317</v>
      </c>
      <c r="AZ59" t="n">
        <v>0</v>
      </c>
      <c r="BA59" t="n">
        <v>118</v>
      </c>
      <c r="BB59" t="n">
        <v>17</v>
      </c>
      <c r="BC59" t="n">
        <v>27</v>
      </c>
      <c r="BD59" t="n">
        <v>0</v>
      </c>
      <c r="BE59" t="n">
        <v>162</v>
      </c>
      <c r="BF59" t="n">
        <v>0</v>
      </c>
      <c r="BG59" t="n">
        <v>0</v>
      </c>
      <c r="BH59" t="n">
        <v>183</v>
      </c>
      <c r="BI59" t="n">
        <v>247</v>
      </c>
      <c r="BJ59" t="n">
        <v>0</v>
      </c>
      <c r="BK59" t="n">
        <v>0</v>
      </c>
      <c r="BL59" t="n">
        <v>2</v>
      </c>
      <c r="BM59" t="n">
        <v>49</v>
      </c>
      <c r="BN59" t="n">
        <v>1</v>
      </c>
      <c r="BO59" t="n">
        <v>3</v>
      </c>
      <c r="BP59" t="n">
        <v>0</v>
      </c>
      <c r="BQ59" t="n">
        <v>485</v>
      </c>
      <c r="BR59" t="n">
        <v>647</v>
      </c>
      <c r="BS59" t="n">
        <v>15109</v>
      </c>
    </row>
    <row r="60">
      <c r="A60" t="n">
        <v>2023</v>
      </c>
      <c r="B60" t="inlineStr">
        <is>
          <t>Ouest</t>
        </is>
      </c>
      <c r="C60" t="inlineStr">
        <is>
          <t>Bretagne</t>
        </is>
      </c>
      <c r="D60" t="inlineStr">
        <is>
          <t>56</t>
        </is>
      </c>
      <c r="E60" t="inlineStr">
        <is>
          <t>Morbihan</t>
        </is>
      </c>
      <c r="F60" t="inlineStr">
        <is>
          <t>B</t>
        </is>
      </c>
      <c r="G60" t="n">
        <v>763</v>
      </c>
      <c r="H60" t="n">
        <v>356</v>
      </c>
      <c r="I60" t="n">
        <v>18</v>
      </c>
      <c r="J60" t="n">
        <v>42</v>
      </c>
      <c r="K60" t="n">
        <v>0</v>
      </c>
      <c r="L60" t="n">
        <v>0</v>
      </c>
      <c r="M60" t="n">
        <v>44</v>
      </c>
      <c r="N60" t="n">
        <v>389</v>
      </c>
      <c r="O60" t="n">
        <v>366</v>
      </c>
      <c r="P60" t="n">
        <v>375</v>
      </c>
      <c r="Q60" t="n">
        <v>908</v>
      </c>
      <c r="R60" t="n">
        <v>2905</v>
      </c>
      <c r="S60" t="n">
        <v>1167</v>
      </c>
      <c r="T60" t="n">
        <v>16216</v>
      </c>
      <c r="U60" t="n">
        <v>0</v>
      </c>
      <c r="V60" t="n">
        <v>9649</v>
      </c>
      <c r="W60" t="n">
        <v>0</v>
      </c>
      <c r="X60" t="n">
        <v>0</v>
      </c>
      <c r="Y60" t="n">
        <v>0</v>
      </c>
      <c r="Z60" t="n">
        <v>570</v>
      </c>
      <c r="AA60" t="n">
        <v>0</v>
      </c>
      <c r="AB60" t="n">
        <v>0</v>
      </c>
      <c r="AC60" t="n">
        <v>1610</v>
      </c>
      <c r="AD60" t="n">
        <v>39</v>
      </c>
      <c r="AE60" t="n">
        <v>18</v>
      </c>
      <c r="AF60" t="n">
        <v>38</v>
      </c>
      <c r="AG60" t="n">
        <v>0</v>
      </c>
      <c r="AH60" t="n">
        <v>0</v>
      </c>
      <c r="AI60" t="n">
        <v>29307</v>
      </c>
      <c r="AJ60" t="n">
        <v>1850</v>
      </c>
      <c r="AK60" t="n">
        <v>33</v>
      </c>
      <c r="AL60" t="n">
        <v>1883</v>
      </c>
      <c r="AM60" t="n">
        <v>31190</v>
      </c>
      <c r="AN60" t="n">
        <v>3385</v>
      </c>
      <c r="AO60" t="n">
        <v>4</v>
      </c>
      <c r="AP60" t="n">
        <v>5</v>
      </c>
      <c r="AQ60" t="n">
        <v>161</v>
      </c>
      <c r="AR60" t="n">
        <v>0</v>
      </c>
      <c r="AS60" t="n">
        <v>3555</v>
      </c>
      <c r="AT60" t="n">
        <v>201</v>
      </c>
      <c r="AU60" t="n">
        <v>26</v>
      </c>
      <c r="AV60" t="n">
        <v>413</v>
      </c>
      <c r="AW60" t="n">
        <v>40</v>
      </c>
      <c r="AX60" t="n">
        <v>0</v>
      </c>
      <c r="AY60" t="n">
        <v>680</v>
      </c>
      <c r="AZ60" t="n">
        <v>742</v>
      </c>
      <c r="BA60" t="n">
        <v>10</v>
      </c>
      <c r="BB60" t="n">
        <v>0</v>
      </c>
      <c r="BC60" t="n">
        <v>0</v>
      </c>
      <c r="BD60" t="n">
        <v>0</v>
      </c>
      <c r="BE60" t="n">
        <v>752</v>
      </c>
      <c r="BF60" t="n">
        <v>0</v>
      </c>
      <c r="BG60" t="n">
        <v>0</v>
      </c>
      <c r="BH60" t="n">
        <v>542</v>
      </c>
      <c r="BI60" t="n">
        <v>5</v>
      </c>
      <c r="BJ60" t="n">
        <v>908</v>
      </c>
      <c r="BK60" t="n">
        <v>0</v>
      </c>
      <c r="BL60" t="n">
        <v>5</v>
      </c>
      <c r="BM60" t="n">
        <v>0</v>
      </c>
      <c r="BN60" t="n">
        <v>0</v>
      </c>
      <c r="BO60" t="n">
        <v>0</v>
      </c>
      <c r="BP60" t="n">
        <v>1081</v>
      </c>
      <c r="BQ60" t="n">
        <v>2541</v>
      </c>
      <c r="BR60" t="n">
        <v>3293</v>
      </c>
      <c r="BS60" t="n">
        <v>41623</v>
      </c>
    </row>
    <row r="61">
      <c r="A61" t="n">
        <v>2023</v>
      </c>
      <c r="B61" t="inlineStr">
        <is>
          <t>Est</t>
        </is>
      </c>
      <c r="C61" t="inlineStr">
        <is>
          <t>Grand Est</t>
        </is>
      </c>
      <c r="D61" t="inlineStr">
        <is>
          <t>57</t>
        </is>
      </c>
      <c r="E61" t="inlineStr">
        <is>
          <t>Moselle</t>
        </is>
      </c>
      <c r="F61" t="inlineStr">
        <is>
          <t>A</t>
        </is>
      </c>
      <c r="G61" t="n">
        <v>976</v>
      </c>
      <c r="H61" t="n">
        <v>258</v>
      </c>
      <c r="I61" t="n">
        <v>43</v>
      </c>
      <c r="J61" t="n">
        <v>82</v>
      </c>
      <c r="K61" t="n">
        <v>60</v>
      </c>
      <c r="L61" t="n">
        <v>9</v>
      </c>
      <c r="M61" t="n">
        <v>32</v>
      </c>
      <c r="N61" t="n">
        <v>971</v>
      </c>
      <c r="O61" t="n">
        <v>872</v>
      </c>
      <c r="P61" t="n">
        <v>863</v>
      </c>
      <c r="Q61" t="n">
        <v>968</v>
      </c>
      <c r="R61" t="n">
        <v>4876</v>
      </c>
      <c r="S61" t="n">
        <v>498</v>
      </c>
      <c r="T61" t="n">
        <v>947</v>
      </c>
      <c r="U61" t="n">
        <v>0</v>
      </c>
      <c r="V61" t="n">
        <v>6765</v>
      </c>
      <c r="W61" t="n">
        <v>0</v>
      </c>
      <c r="X61" t="n">
        <v>370</v>
      </c>
      <c r="Y61" t="n">
        <v>15423</v>
      </c>
      <c r="Z61" t="n">
        <v>7972</v>
      </c>
      <c r="AA61" t="n">
        <v>0</v>
      </c>
      <c r="AB61" t="n">
        <v>7539</v>
      </c>
      <c r="AC61" t="n">
        <v>757</v>
      </c>
      <c r="AD61" t="n">
        <v>26</v>
      </c>
      <c r="AE61" t="n">
        <v>0</v>
      </c>
      <c r="AF61" t="n">
        <v>215</v>
      </c>
      <c r="AG61" t="n">
        <v>211</v>
      </c>
      <c r="AH61" t="n">
        <v>5134</v>
      </c>
      <c r="AI61" t="n">
        <v>45646</v>
      </c>
      <c r="AJ61" t="n">
        <v>9054</v>
      </c>
      <c r="AK61" t="n">
        <v>4</v>
      </c>
      <c r="AL61" t="n">
        <v>9058</v>
      </c>
      <c r="AM61" t="n">
        <v>54704</v>
      </c>
      <c r="AN61" t="n">
        <v>3620</v>
      </c>
      <c r="AO61" t="n">
        <v>4</v>
      </c>
      <c r="AP61" t="n">
        <v>3</v>
      </c>
      <c r="AQ61" t="n">
        <v>1</v>
      </c>
      <c r="AR61" t="n">
        <v>0</v>
      </c>
      <c r="AS61" t="n">
        <v>3628</v>
      </c>
      <c r="AT61" t="n">
        <v>649</v>
      </c>
      <c r="AU61" t="n">
        <v>172</v>
      </c>
      <c r="AV61" t="n">
        <v>213</v>
      </c>
      <c r="AW61" t="n">
        <v>81</v>
      </c>
      <c r="AX61" t="n">
        <v>15</v>
      </c>
      <c r="AY61" t="n">
        <v>1130</v>
      </c>
      <c r="AZ61" t="n">
        <v>1132</v>
      </c>
      <c r="BA61" t="n">
        <v>195</v>
      </c>
      <c r="BB61" t="n">
        <v>1747</v>
      </c>
      <c r="BC61" t="n">
        <v>0</v>
      </c>
      <c r="BD61" t="n">
        <v>0</v>
      </c>
      <c r="BE61" t="n">
        <v>3074</v>
      </c>
      <c r="BF61" t="n">
        <v>0</v>
      </c>
      <c r="BG61" t="n">
        <v>0</v>
      </c>
      <c r="BH61" t="n">
        <v>838</v>
      </c>
      <c r="BI61" t="n">
        <v>565</v>
      </c>
      <c r="BJ61" t="n">
        <v>252</v>
      </c>
      <c r="BK61" t="n">
        <v>0</v>
      </c>
      <c r="BL61" t="n">
        <v>0</v>
      </c>
      <c r="BM61" t="n">
        <v>163</v>
      </c>
      <c r="BN61" t="n">
        <v>843</v>
      </c>
      <c r="BO61" t="n">
        <v>0</v>
      </c>
      <c r="BP61" t="n">
        <v>478</v>
      </c>
      <c r="BQ61" t="n">
        <v>3139</v>
      </c>
      <c r="BR61" t="n">
        <v>6213</v>
      </c>
      <c r="BS61" t="n">
        <v>70551</v>
      </c>
    </row>
    <row r="62">
      <c r="A62" t="n">
        <v>2023</v>
      </c>
      <c r="B62" t="inlineStr">
        <is>
          <t>Est</t>
        </is>
      </c>
      <c r="C62" t="inlineStr">
        <is>
          <t>Bourgogne-Franche-Comt�</t>
        </is>
      </c>
      <c r="D62" t="inlineStr">
        <is>
          <t>58</t>
        </is>
      </c>
      <c r="E62" t="inlineStr">
        <is>
          <t>Ni�vre</t>
        </is>
      </c>
      <c r="F62" t="inlineStr">
        <is>
          <t>C</t>
        </is>
      </c>
      <c r="G62" t="n">
        <v>336</v>
      </c>
      <c r="H62" t="n">
        <v>215</v>
      </c>
      <c r="I62" t="n">
        <v>5</v>
      </c>
      <c r="J62" t="n">
        <v>10</v>
      </c>
      <c r="K62" t="n">
        <v>14</v>
      </c>
      <c r="L62" t="n">
        <v>4</v>
      </c>
      <c r="M62" t="n">
        <v>17</v>
      </c>
      <c r="N62" t="n">
        <v>93</v>
      </c>
      <c r="O62" t="n">
        <v>203</v>
      </c>
      <c r="P62" t="n">
        <v>343</v>
      </c>
      <c r="Q62" t="n">
        <v>370</v>
      </c>
      <c r="R62" t="n">
        <v>1395</v>
      </c>
      <c r="S62" t="n">
        <v>0</v>
      </c>
      <c r="T62" t="n">
        <v>0</v>
      </c>
      <c r="U62" t="n">
        <v>0</v>
      </c>
      <c r="V62" t="n">
        <v>1102</v>
      </c>
      <c r="W62" t="n">
        <v>0</v>
      </c>
      <c r="X62" t="n">
        <v>0</v>
      </c>
      <c r="Y62" t="n">
        <v>4881</v>
      </c>
      <c r="Z62" t="n">
        <v>3435</v>
      </c>
      <c r="AA62" t="n">
        <v>0</v>
      </c>
      <c r="AB62" t="n">
        <v>0</v>
      </c>
      <c r="AC62" t="n">
        <v>387</v>
      </c>
      <c r="AD62" t="n">
        <v>0</v>
      </c>
      <c r="AE62" t="n">
        <v>0</v>
      </c>
      <c r="AF62" t="n">
        <v>14</v>
      </c>
      <c r="AG62" t="n">
        <v>0</v>
      </c>
      <c r="AH62" t="n">
        <v>3354</v>
      </c>
      <c r="AI62" t="n">
        <v>13173</v>
      </c>
      <c r="AJ62" t="n">
        <v>1028</v>
      </c>
      <c r="AK62" t="n">
        <v>38</v>
      </c>
      <c r="AL62" t="n">
        <v>1066</v>
      </c>
      <c r="AM62" t="n">
        <v>14239</v>
      </c>
      <c r="AN62" t="n">
        <v>1032</v>
      </c>
      <c r="AO62" t="n">
        <v>1</v>
      </c>
      <c r="AP62" t="n">
        <v>0</v>
      </c>
      <c r="AQ62" t="n">
        <v>0</v>
      </c>
      <c r="AR62" t="n">
        <v>0</v>
      </c>
      <c r="AS62" t="n">
        <v>1033</v>
      </c>
      <c r="AT62" t="n">
        <v>72</v>
      </c>
      <c r="AU62" t="n">
        <v>0</v>
      </c>
      <c r="AV62" t="n">
        <v>18</v>
      </c>
      <c r="AW62" t="n">
        <v>31</v>
      </c>
      <c r="AX62" t="n">
        <v>0</v>
      </c>
      <c r="AY62" t="n">
        <v>121</v>
      </c>
      <c r="AZ62" t="n">
        <v>207</v>
      </c>
      <c r="BA62" t="n">
        <v>63</v>
      </c>
      <c r="BB62" t="n">
        <v>46</v>
      </c>
      <c r="BC62" t="n">
        <v>5</v>
      </c>
      <c r="BD62" t="n">
        <v>0</v>
      </c>
      <c r="BE62" t="n">
        <v>321</v>
      </c>
      <c r="BF62" t="n">
        <v>0</v>
      </c>
      <c r="BG62" t="n">
        <v>0</v>
      </c>
      <c r="BH62" t="n">
        <v>334</v>
      </c>
      <c r="BI62" t="n">
        <v>96</v>
      </c>
      <c r="BJ62" t="n">
        <v>25</v>
      </c>
      <c r="BK62" t="n">
        <v>2</v>
      </c>
      <c r="BL62" t="n">
        <v>1</v>
      </c>
      <c r="BM62" t="n">
        <v>36</v>
      </c>
      <c r="BN62" t="n">
        <v>0</v>
      </c>
      <c r="BO62" t="n">
        <v>0</v>
      </c>
      <c r="BP62" t="n">
        <v>214</v>
      </c>
      <c r="BQ62" t="n">
        <v>708</v>
      </c>
      <c r="BR62" t="n">
        <v>1029</v>
      </c>
      <c r="BS62" t="n">
        <v>17817</v>
      </c>
    </row>
    <row r="63">
      <c r="A63" t="n">
        <v>2023</v>
      </c>
      <c r="B63" t="inlineStr">
        <is>
          <t>Nord</t>
        </is>
      </c>
      <c r="C63" t="inlineStr">
        <is>
          <t>Hauts-de-France</t>
        </is>
      </c>
      <c r="D63" t="inlineStr">
        <is>
          <t>59</t>
        </is>
      </c>
      <c r="E63" t="inlineStr">
        <is>
          <t>Nord</t>
        </is>
      </c>
      <c r="F63" t="inlineStr">
        <is>
          <t>A</t>
        </is>
      </c>
      <c r="G63" t="n">
        <v>2271</v>
      </c>
      <c r="H63" t="n">
        <v>710</v>
      </c>
      <c r="I63" t="n">
        <v>5</v>
      </c>
      <c r="J63" t="n">
        <v>314</v>
      </c>
      <c r="K63" t="n">
        <v>97</v>
      </c>
      <c r="L63" t="n">
        <v>15</v>
      </c>
      <c r="M63" t="n">
        <v>41</v>
      </c>
      <c r="N63" t="n">
        <v>3108</v>
      </c>
      <c r="O63" t="n">
        <v>2264</v>
      </c>
      <c r="P63" t="n">
        <v>860</v>
      </c>
      <c r="Q63" t="n">
        <v>1344</v>
      </c>
      <c r="R63" t="n">
        <v>10319</v>
      </c>
      <c r="S63" t="n">
        <v>4495</v>
      </c>
      <c r="T63" t="n">
        <v>11319</v>
      </c>
      <c r="U63" t="n">
        <v>3060</v>
      </c>
      <c r="V63" t="n">
        <v>20085</v>
      </c>
      <c r="W63" t="n">
        <v>0</v>
      </c>
      <c r="X63" t="n">
        <v>3320</v>
      </c>
      <c r="Y63" t="n">
        <v>32355</v>
      </c>
      <c r="Z63" t="n">
        <v>5266</v>
      </c>
      <c r="AA63" t="n">
        <v>0</v>
      </c>
      <c r="AB63" t="n">
        <v>26324</v>
      </c>
      <c r="AC63" t="n">
        <v>3167</v>
      </c>
      <c r="AD63" t="n">
        <v>53</v>
      </c>
      <c r="AE63" t="n">
        <v>16</v>
      </c>
      <c r="AF63" t="n">
        <v>296</v>
      </c>
      <c r="AG63" t="n">
        <v>278</v>
      </c>
      <c r="AH63" t="n">
        <v>2258</v>
      </c>
      <c r="AI63" t="n">
        <v>112014</v>
      </c>
      <c r="AJ63" t="n">
        <v>20980</v>
      </c>
      <c r="AK63" t="n">
        <v>15</v>
      </c>
      <c r="AL63" t="n">
        <v>20995</v>
      </c>
      <c r="AM63" t="n">
        <v>133009</v>
      </c>
      <c r="AN63" t="n">
        <v>8075</v>
      </c>
      <c r="AO63" t="n">
        <v>26</v>
      </c>
      <c r="AP63" t="n">
        <v>1</v>
      </c>
      <c r="AQ63" t="n">
        <v>7</v>
      </c>
      <c r="AR63" t="n">
        <v>0</v>
      </c>
      <c r="AS63" t="n">
        <v>8109</v>
      </c>
      <c r="AT63" t="n">
        <v>1078</v>
      </c>
      <c r="AU63" t="n">
        <v>1606</v>
      </c>
      <c r="AV63" t="n">
        <v>688</v>
      </c>
      <c r="AW63" t="n">
        <v>94</v>
      </c>
      <c r="AX63" t="n">
        <v>12</v>
      </c>
      <c r="AY63" t="n">
        <v>3478</v>
      </c>
      <c r="AZ63" t="n">
        <v>1164</v>
      </c>
      <c r="BA63" t="n">
        <v>1118</v>
      </c>
      <c r="BB63" t="n">
        <v>8796</v>
      </c>
      <c r="BC63" t="n">
        <v>0</v>
      </c>
      <c r="BD63" t="n">
        <v>0</v>
      </c>
      <c r="BE63" t="n">
        <v>11078</v>
      </c>
      <c r="BF63" t="n">
        <v>324</v>
      </c>
      <c r="BG63" t="n">
        <v>2</v>
      </c>
      <c r="BH63" t="n">
        <v>801</v>
      </c>
      <c r="BI63" t="n">
        <v>1085</v>
      </c>
      <c r="BJ63" t="n">
        <v>0</v>
      </c>
      <c r="BK63" t="n">
        <v>2</v>
      </c>
      <c r="BL63" t="n">
        <v>177</v>
      </c>
      <c r="BM63" t="n">
        <v>2135</v>
      </c>
      <c r="BN63" t="n">
        <v>0</v>
      </c>
      <c r="BO63" t="n">
        <v>75</v>
      </c>
      <c r="BP63" t="n">
        <v>1879</v>
      </c>
      <c r="BQ63" t="n">
        <v>6478</v>
      </c>
      <c r="BR63" t="n">
        <v>17556</v>
      </c>
      <c r="BS63" t="n">
        <v>172471</v>
      </c>
    </row>
    <row r="64">
      <c r="A64" t="n">
        <v>2023</v>
      </c>
      <c r="B64" t="inlineStr">
        <is>
          <t>Nord</t>
        </is>
      </c>
      <c r="C64" t="inlineStr">
        <is>
          <t>Hauts-de-France</t>
        </is>
      </c>
      <c r="D64" t="inlineStr">
        <is>
          <t>60</t>
        </is>
      </c>
      <c r="E64" t="inlineStr">
        <is>
          <t>Oise</t>
        </is>
      </c>
      <c r="F64" t="inlineStr">
        <is>
          <t>B</t>
        </is>
      </c>
      <c r="G64" t="n">
        <v>651</v>
      </c>
      <c r="H64" t="n">
        <v>283</v>
      </c>
      <c r="I64" t="n">
        <v>10</v>
      </c>
      <c r="J64" t="n">
        <v>27</v>
      </c>
      <c r="K64" t="n">
        <v>53</v>
      </c>
      <c r="L64" t="n">
        <v>0</v>
      </c>
      <c r="M64" t="n">
        <v>7</v>
      </c>
      <c r="N64" t="n">
        <v>233</v>
      </c>
      <c r="O64" t="n">
        <v>856</v>
      </c>
      <c r="P64" t="n">
        <v>394</v>
      </c>
      <c r="Q64" t="n">
        <v>1348</v>
      </c>
      <c r="R64" t="n">
        <v>3579</v>
      </c>
      <c r="S64" t="n">
        <v>331</v>
      </c>
      <c r="T64" t="n">
        <v>8337</v>
      </c>
      <c r="U64" t="n">
        <v>34</v>
      </c>
      <c r="V64" t="n">
        <v>5177</v>
      </c>
      <c r="W64" t="n">
        <v>0</v>
      </c>
      <c r="X64" t="n">
        <v>353</v>
      </c>
      <c r="Y64" t="n">
        <v>15916</v>
      </c>
      <c r="Z64" t="n">
        <v>11613</v>
      </c>
      <c r="AA64" t="n">
        <v>3</v>
      </c>
      <c r="AB64" t="n">
        <v>5617</v>
      </c>
      <c r="AC64" t="n">
        <v>1235</v>
      </c>
      <c r="AD64" t="n">
        <v>19</v>
      </c>
      <c r="AE64" t="n">
        <v>0</v>
      </c>
      <c r="AF64" t="n">
        <v>101</v>
      </c>
      <c r="AG64" t="n">
        <v>89</v>
      </c>
      <c r="AH64" t="n">
        <v>284</v>
      </c>
      <c r="AI64" t="n">
        <v>49020</v>
      </c>
      <c r="AJ64" t="n">
        <v>2014</v>
      </c>
      <c r="AK64" t="n">
        <v>0</v>
      </c>
      <c r="AL64" t="n">
        <v>2014</v>
      </c>
      <c r="AM64" t="n">
        <v>51034</v>
      </c>
      <c r="AN64" t="n">
        <v>3136</v>
      </c>
      <c r="AO64" t="n">
        <v>5</v>
      </c>
      <c r="AP64" t="n">
        <v>5</v>
      </c>
      <c r="AQ64" t="n">
        <v>2</v>
      </c>
      <c r="AR64" t="n">
        <v>0</v>
      </c>
      <c r="AS64" t="n">
        <v>3148</v>
      </c>
      <c r="AT64" t="n">
        <v>379</v>
      </c>
      <c r="AU64" t="n">
        <v>173</v>
      </c>
      <c r="AV64" t="n">
        <v>0</v>
      </c>
      <c r="AW64" t="n">
        <v>35</v>
      </c>
      <c r="AX64" t="n">
        <v>0</v>
      </c>
      <c r="AY64" t="n">
        <v>587</v>
      </c>
      <c r="AZ64" t="n">
        <v>260</v>
      </c>
      <c r="BA64" t="n">
        <v>403</v>
      </c>
      <c r="BB64" t="n">
        <v>124</v>
      </c>
      <c r="BC64" t="n">
        <v>0</v>
      </c>
      <c r="BD64" t="n">
        <v>0</v>
      </c>
      <c r="BE64" t="n">
        <v>787</v>
      </c>
      <c r="BF64" t="n">
        <v>63</v>
      </c>
      <c r="BG64" t="n">
        <v>0</v>
      </c>
      <c r="BH64" t="n">
        <v>409</v>
      </c>
      <c r="BI64" t="n">
        <v>923</v>
      </c>
      <c r="BJ64" t="n">
        <v>427</v>
      </c>
      <c r="BK64" t="n">
        <v>5</v>
      </c>
      <c r="BL64" t="n">
        <v>8</v>
      </c>
      <c r="BM64" t="n">
        <v>111</v>
      </c>
      <c r="BN64" t="n">
        <v>0</v>
      </c>
      <c r="BO64" t="n">
        <v>18</v>
      </c>
      <c r="BP64" t="n">
        <v>987</v>
      </c>
      <c r="BQ64" t="n">
        <v>2951</v>
      </c>
      <c r="BR64" t="n">
        <v>3738</v>
      </c>
      <c r="BS64" t="n">
        <v>62086</v>
      </c>
    </row>
    <row r="65">
      <c r="A65" t="n">
        <v>2023</v>
      </c>
      <c r="B65" t="inlineStr">
        <is>
          <t>Ouest</t>
        </is>
      </c>
      <c r="C65" t="inlineStr">
        <is>
          <t>Normandie</t>
        </is>
      </c>
      <c r="D65" t="inlineStr">
        <is>
          <t>61</t>
        </is>
      </c>
      <c r="E65" t="inlineStr">
        <is>
          <t>Orne</t>
        </is>
      </c>
      <c r="F65" t="inlineStr">
        <is>
          <t>C</t>
        </is>
      </c>
      <c r="G65" t="n">
        <v>610</v>
      </c>
      <c r="H65" t="n">
        <v>190</v>
      </c>
      <c r="I65" t="n">
        <v>18</v>
      </c>
      <c r="J65" t="n">
        <v>21</v>
      </c>
      <c r="K65" t="n">
        <v>55</v>
      </c>
      <c r="L65" t="n">
        <v>11</v>
      </c>
      <c r="M65" t="n">
        <v>40</v>
      </c>
      <c r="N65" t="n">
        <v>164</v>
      </c>
      <c r="O65" t="n">
        <v>234</v>
      </c>
      <c r="P65" t="n">
        <v>253</v>
      </c>
      <c r="Q65" t="n">
        <v>234</v>
      </c>
      <c r="R65" t="n">
        <v>1640</v>
      </c>
      <c r="S65" t="n">
        <v>285</v>
      </c>
      <c r="T65" t="n">
        <v>2219</v>
      </c>
      <c r="U65" t="n">
        <v>128</v>
      </c>
      <c r="V65" t="n">
        <v>541</v>
      </c>
      <c r="W65" t="n">
        <v>0</v>
      </c>
      <c r="X65" t="n">
        <v>300</v>
      </c>
      <c r="Y65" t="n">
        <v>9481</v>
      </c>
      <c r="Z65" t="n">
        <v>952</v>
      </c>
      <c r="AA65" t="n">
        <v>0</v>
      </c>
      <c r="AB65" t="n">
        <v>1077</v>
      </c>
      <c r="AC65" t="n">
        <v>554</v>
      </c>
      <c r="AD65" t="n">
        <v>7</v>
      </c>
      <c r="AE65" t="n">
        <v>0</v>
      </c>
      <c r="AF65" t="n">
        <v>180</v>
      </c>
      <c r="AG65" t="n">
        <v>25</v>
      </c>
      <c r="AH65" t="n">
        <v>0</v>
      </c>
      <c r="AI65" t="n">
        <v>15724</v>
      </c>
      <c r="AJ65" t="n">
        <v>799</v>
      </c>
      <c r="AK65" t="n">
        <v>3</v>
      </c>
      <c r="AL65" t="n">
        <v>802</v>
      </c>
      <c r="AM65" t="n">
        <v>16526</v>
      </c>
      <c r="AN65" t="n">
        <v>1636</v>
      </c>
      <c r="AO65" t="n">
        <v>2</v>
      </c>
      <c r="AP65" t="n">
        <v>0</v>
      </c>
      <c r="AQ65" t="n">
        <v>0</v>
      </c>
      <c r="AR65" t="n">
        <v>0</v>
      </c>
      <c r="AS65" t="n">
        <v>1638</v>
      </c>
      <c r="AT65" t="n">
        <v>116</v>
      </c>
      <c r="AU65" t="n">
        <v>0</v>
      </c>
      <c r="AV65" t="n">
        <v>168</v>
      </c>
      <c r="AW65" t="n">
        <v>39</v>
      </c>
      <c r="AX65" t="n">
        <v>32</v>
      </c>
      <c r="AY65" t="n">
        <v>355</v>
      </c>
      <c r="AZ65" t="n">
        <v>46</v>
      </c>
      <c r="BA65" t="n">
        <v>140</v>
      </c>
      <c r="BB65" t="n">
        <v>150</v>
      </c>
      <c r="BC65" t="n">
        <v>0</v>
      </c>
      <c r="BD65" t="n">
        <v>0</v>
      </c>
      <c r="BE65" t="n">
        <v>336</v>
      </c>
      <c r="BF65" t="n">
        <v>0</v>
      </c>
      <c r="BG65" t="n">
        <v>0</v>
      </c>
      <c r="BH65" t="n">
        <v>180</v>
      </c>
      <c r="BI65" t="n">
        <v>33</v>
      </c>
      <c r="BJ65" t="n">
        <v>0</v>
      </c>
      <c r="BK65" t="n">
        <v>0</v>
      </c>
      <c r="BL65" t="n">
        <v>4</v>
      </c>
      <c r="BM65" t="n">
        <v>48</v>
      </c>
      <c r="BN65" t="n">
        <v>28</v>
      </c>
      <c r="BO65" t="n">
        <v>0</v>
      </c>
      <c r="BP65" t="n">
        <v>253</v>
      </c>
      <c r="BQ65" t="n">
        <v>546</v>
      </c>
      <c r="BR65" t="n">
        <v>882</v>
      </c>
      <c r="BS65" t="n">
        <v>21041</v>
      </c>
    </row>
    <row r="66">
      <c r="A66" t="n">
        <v>2023</v>
      </c>
      <c r="B66" t="inlineStr">
        <is>
          <t>Nord</t>
        </is>
      </c>
      <c r="C66" t="inlineStr">
        <is>
          <t>Hauts-de-France</t>
        </is>
      </c>
      <c r="D66" t="inlineStr">
        <is>
          <t>62</t>
        </is>
      </c>
      <c r="E66" t="inlineStr">
        <is>
          <t>Pas-de-Calais</t>
        </is>
      </c>
      <c r="F66" t="inlineStr">
        <is>
          <t>A</t>
        </is>
      </c>
      <c r="G66" t="n">
        <v>1798</v>
      </c>
      <c r="H66" t="n">
        <v>623</v>
      </c>
      <c r="I66" t="n">
        <v>24</v>
      </c>
      <c r="J66" t="n">
        <v>143</v>
      </c>
      <c r="K66" t="n">
        <v>68</v>
      </c>
      <c r="L66" t="n">
        <v>62</v>
      </c>
      <c r="M66" t="n">
        <v>61</v>
      </c>
      <c r="N66" t="n">
        <v>978</v>
      </c>
      <c r="O66" t="n">
        <v>1246</v>
      </c>
      <c r="P66" t="n">
        <v>912</v>
      </c>
      <c r="Q66" t="n">
        <v>1073</v>
      </c>
      <c r="R66" t="n">
        <v>6365</v>
      </c>
      <c r="S66" t="n">
        <v>3227</v>
      </c>
      <c r="T66" t="n">
        <v>17180</v>
      </c>
      <c r="U66" t="n">
        <v>0</v>
      </c>
      <c r="V66" t="n">
        <v>14996</v>
      </c>
      <c r="W66" t="n">
        <v>0</v>
      </c>
      <c r="X66" t="n">
        <v>1114</v>
      </c>
      <c r="Y66" t="n">
        <v>32569</v>
      </c>
      <c r="Z66" t="n">
        <v>13245</v>
      </c>
      <c r="AA66" t="n">
        <v>0</v>
      </c>
      <c r="AB66" t="n">
        <v>18467</v>
      </c>
      <c r="AC66" t="n">
        <v>7521</v>
      </c>
      <c r="AD66" t="n">
        <v>30</v>
      </c>
      <c r="AE66" t="n">
        <v>89</v>
      </c>
      <c r="AF66" t="n">
        <v>3624</v>
      </c>
      <c r="AG66" t="n">
        <v>65</v>
      </c>
      <c r="AH66" t="n">
        <v>0</v>
      </c>
      <c r="AI66" t="n">
        <v>112062</v>
      </c>
      <c r="AJ66" t="n">
        <v>4244</v>
      </c>
      <c r="AK66" t="n">
        <v>93</v>
      </c>
      <c r="AL66" t="n">
        <v>4337</v>
      </c>
      <c r="AM66" t="n">
        <v>116399</v>
      </c>
      <c r="AN66" t="n">
        <v>6337</v>
      </c>
      <c r="AO66" t="n">
        <v>13</v>
      </c>
      <c r="AP66" t="n">
        <v>4</v>
      </c>
      <c r="AQ66" t="n">
        <v>10</v>
      </c>
      <c r="AR66" t="n">
        <v>0</v>
      </c>
      <c r="AS66" t="n">
        <v>6364</v>
      </c>
      <c r="AT66" t="n">
        <v>1302</v>
      </c>
      <c r="AU66" t="n">
        <v>126</v>
      </c>
      <c r="AV66" t="n">
        <v>778</v>
      </c>
      <c r="AW66" t="n">
        <v>43</v>
      </c>
      <c r="AX66" t="n">
        <v>84</v>
      </c>
      <c r="AY66" t="n">
        <v>2333</v>
      </c>
      <c r="AZ66" t="n">
        <v>166</v>
      </c>
      <c r="BA66" t="n">
        <v>2403</v>
      </c>
      <c r="BB66" t="n">
        <v>4415</v>
      </c>
      <c r="BC66" t="n">
        <v>0</v>
      </c>
      <c r="BD66" t="n">
        <v>0</v>
      </c>
      <c r="BE66" t="n">
        <v>6984</v>
      </c>
      <c r="BF66" t="n">
        <v>0</v>
      </c>
      <c r="BG66" t="n">
        <v>0</v>
      </c>
      <c r="BH66" t="n">
        <v>414</v>
      </c>
      <c r="BI66" t="n">
        <v>1301</v>
      </c>
      <c r="BJ66" t="n">
        <v>1289</v>
      </c>
      <c r="BK66" t="n">
        <v>3</v>
      </c>
      <c r="BL66" t="n">
        <v>69</v>
      </c>
      <c r="BM66" t="n">
        <v>0</v>
      </c>
      <c r="BN66" t="n">
        <v>31</v>
      </c>
      <c r="BO66" t="n">
        <v>220</v>
      </c>
      <c r="BP66" t="n">
        <v>297</v>
      </c>
      <c r="BQ66" t="n">
        <v>3624</v>
      </c>
      <c r="BR66" t="n">
        <v>10608</v>
      </c>
      <c r="BS66" t="n">
        <v>142069</v>
      </c>
    </row>
    <row r="67">
      <c r="A67" t="n">
        <v>2023</v>
      </c>
      <c r="B67" t="inlineStr">
        <is>
          <t>Sud-est</t>
        </is>
      </c>
      <c r="C67" t="inlineStr">
        <is>
          <t>Auvergne-Rh�ne-Alpes</t>
        </is>
      </c>
      <c r="D67" t="inlineStr">
        <is>
          <t>63</t>
        </is>
      </c>
      <c r="E67" t="inlineStr">
        <is>
          <t>Puy-de-D�me</t>
        </is>
      </c>
      <c r="F67" t="inlineStr">
        <is>
          <t>B</t>
        </is>
      </c>
      <c r="G67" t="n">
        <v>436</v>
      </c>
      <c r="H67" t="n">
        <v>289</v>
      </c>
      <c r="I67" t="n">
        <v>9</v>
      </c>
      <c r="J67" t="n">
        <v>15</v>
      </c>
      <c r="K67" t="n">
        <v>94</v>
      </c>
      <c r="L67" t="n">
        <v>0</v>
      </c>
      <c r="M67" t="n">
        <v>25</v>
      </c>
      <c r="N67" t="n">
        <v>488</v>
      </c>
      <c r="O67" t="n">
        <v>532</v>
      </c>
      <c r="P67" t="n">
        <v>762</v>
      </c>
      <c r="Q67" t="n">
        <v>213</v>
      </c>
      <c r="R67" t="n">
        <v>2574</v>
      </c>
      <c r="S67" t="n">
        <v>595</v>
      </c>
      <c r="T67" t="n">
        <v>5925</v>
      </c>
      <c r="U67" t="n">
        <v>1212</v>
      </c>
      <c r="V67" t="n">
        <v>3907</v>
      </c>
      <c r="W67" t="n">
        <v>0</v>
      </c>
      <c r="X67" t="n">
        <v>2184</v>
      </c>
      <c r="Y67" t="n">
        <v>3751</v>
      </c>
      <c r="Z67" t="n">
        <v>4210</v>
      </c>
      <c r="AA67" t="n">
        <v>0</v>
      </c>
      <c r="AB67" t="n">
        <v>5951</v>
      </c>
      <c r="AC67" t="n">
        <v>1424</v>
      </c>
      <c r="AD67" t="n">
        <v>13</v>
      </c>
      <c r="AE67" t="n">
        <v>0</v>
      </c>
      <c r="AF67" t="n">
        <v>50</v>
      </c>
      <c r="AG67" t="n">
        <v>50</v>
      </c>
      <c r="AH67" t="n">
        <v>2</v>
      </c>
      <c r="AI67" t="n">
        <v>29224</v>
      </c>
      <c r="AJ67" t="n">
        <v>8391</v>
      </c>
      <c r="AK67" t="n">
        <v>6</v>
      </c>
      <c r="AL67" t="n">
        <v>8397</v>
      </c>
      <c r="AM67" t="n">
        <v>37621</v>
      </c>
      <c r="AN67" t="n">
        <v>2665</v>
      </c>
      <c r="AO67" t="n">
        <v>2</v>
      </c>
      <c r="AP67" t="n">
        <v>3</v>
      </c>
      <c r="AQ67" t="n">
        <v>0</v>
      </c>
      <c r="AR67" t="n">
        <v>0</v>
      </c>
      <c r="AS67" t="n">
        <v>2670</v>
      </c>
      <c r="AT67" t="n">
        <v>293</v>
      </c>
      <c r="AU67" t="n">
        <v>189</v>
      </c>
      <c r="AV67" t="n">
        <v>0</v>
      </c>
      <c r="AW67" t="n">
        <v>26</v>
      </c>
      <c r="AX67" t="n">
        <v>0</v>
      </c>
      <c r="AY67" t="n">
        <v>508</v>
      </c>
      <c r="AZ67" t="n">
        <v>0</v>
      </c>
      <c r="BA67" t="n">
        <v>846</v>
      </c>
      <c r="BB67" t="n">
        <v>2013</v>
      </c>
      <c r="BC67" t="n">
        <v>0</v>
      </c>
      <c r="BD67" t="n">
        <v>0</v>
      </c>
      <c r="BE67" t="n">
        <v>2859</v>
      </c>
      <c r="BF67" t="n">
        <v>0</v>
      </c>
      <c r="BG67" t="n">
        <v>0</v>
      </c>
      <c r="BH67" t="n">
        <v>238</v>
      </c>
      <c r="BI67" t="n">
        <v>391</v>
      </c>
      <c r="BJ67" t="n">
        <v>73</v>
      </c>
      <c r="BK67" t="n">
        <v>0</v>
      </c>
      <c r="BL67" t="n">
        <v>7</v>
      </c>
      <c r="BM67" t="n">
        <v>339</v>
      </c>
      <c r="BN67" t="n">
        <v>2</v>
      </c>
      <c r="BO67" t="n">
        <v>2</v>
      </c>
      <c r="BP67" t="n">
        <v>189</v>
      </c>
      <c r="BQ67" t="n">
        <v>1241</v>
      </c>
      <c r="BR67" t="n">
        <v>4100</v>
      </c>
      <c r="BS67" t="n">
        <v>47473</v>
      </c>
    </row>
    <row r="68">
      <c r="A68" t="n">
        <v>2023</v>
      </c>
      <c r="B68" t="inlineStr">
        <is>
          <t>Sud-ouest</t>
        </is>
      </c>
      <c r="C68" t="inlineStr">
        <is>
          <t>Nouvelle-Aquitaine</t>
        </is>
      </c>
      <c r="D68" t="inlineStr">
        <is>
          <t>64</t>
        </is>
      </c>
      <c r="E68" t="inlineStr">
        <is>
          <t>Pyr�n�es-Atlantiques</t>
        </is>
      </c>
      <c r="F68" t="inlineStr">
        <is>
          <t>B</t>
        </is>
      </c>
      <c r="G68" t="n">
        <v>462</v>
      </c>
      <c r="H68" t="n">
        <v>150</v>
      </c>
      <c r="I68" t="n">
        <v>6</v>
      </c>
      <c r="J68" t="n">
        <v>35</v>
      </c>
      <c r="K68" t="n">
        <v>17</v>
      </c>
      <c r="L68" t="n">
        <v>14</v>
      </c>
      <c r="M68" t="n">
        <v>45</v>
      </c>
      <c r="N68" t="n">
        <v>306</v>
      </c>
      <c r="O68" t="n">
        <v>298</v>
      </c>
      <c r="P68" t="n">
        <v>364</v>
      </c>
      <c r="Q68" t="n">
        <v>675</v>
      </c>
      <c r="R68" t="n">
        <v>2222</v>
      </c>
      <c r="S68" t="n">
        <v>457</v>
      </c>
      <c r="T68" t="n">
        <v>8024</v>
      </c>
      <c r="U68" t="n">
        <v>255</v>
      </c>
      <c r="V68" t="n">
        <v>3847</v>
      </c>
      <c r="W68" t="n">
        <v>244</v>
      </c>
      <c r="X68" t="n">
        <v>308</v>
      </c>
      <c r="Y68" t="n">
        <v>7363</v>
      </c>
      <c r="Z68" t="n">
        <v>613</v>
      </c>
      <c r="AA68" t="n">
        <v>0</v>
      </c>
      <c r="AB68" t="n">
        <v>3350</v>
      </c>
      <c r="AC68" t="n">
        <v>1030</v>
      </c>
      <c r="AD68" t="n">
        <v>25</v>
      </c>
      <c r="AE68" t="n">
        <v>76</v>
      </c>
      <c r="AF68" t="n">
        <v>123</v>
      </c>
      <c r="AG68" t="n">
        <v>84</v>
      </c>
      <c r="AH68" t="n">
        <v>2526</v>
      </c>
      <c r="AI68" t="n">
        <v>28241</v>
      </c>
      <c r="AJ68" t="n">
        <v>5180</v>
      </c>
      <c r="AK68" t="n">
        <v>10</v>
      </c>
      <c r="AL68" t="n">
        <v>5190</v>
      </c>
      <c r="AM68" t="n">
        <v>33431</v>
      </c>
      <c r="AN68" t="n">
        <v>3406</v>
      </c>
      <c r="AO68" t="n">
        <v>0</v>
      </c>
      <c r="AP68" t="n">
        <v>0</v>
      </c>
      <c r="AQ68" t="n">
        <v>13</v>
      </c>
      <c r="AR68" t="n">
        <v>0</v>
      </c>
      <c r="AS68" t="n">
        <v>3419</v>
      </c>
      <c r="AT68" t="n">
        <v>339</v>
      </c>
      <c r="AU68" t="n">
        <v>0</v>
      </c>
      <c r="AV68" t="n">
        <v>320</v>
      </c>
      <c r="AW68" t="n">
        <v>13</v>
      </c>
      <c r="AX68" t="n">
        <v>6</v>
      </c>
      <c r="AY68" t="n">
        <v>678</v>
      </c>
      <c r="AZ68" t="n">
        <v>306</v>
      </c>
      <c r="BA68" t="n">
        <v>936</v>
      </c>
      <c r="BB68" t="n">
        <v>304</v>
      </c>
      <c r="BC68" t="n">
        <v>0</v>
      </c>
      <c r="BD68" t="n">
        <v>3</v>
      </c>
      <c r="BE68" t="n">
        <v>1549</v>
      </c>
      <c r="BF68" t="n">
        <v>0</v>
      </c>
      <c r="BG68" t="n">
        <v>0</v>
      </c>
      <c r="BH68" t="n">
        <v>469</v>
      </c>
      <c r="BI68" t="n">
        <v>7</v>
      </c>
      <c r="BJ68" t="n">
        <v>0</v>
      </c>
      <c r="BK68" t="n">
        <v>78</v>
      </c>
      <c r="BL68" t="n">
        <v>3</v>
      </c>
      <c r="BM68" t="n">
        <v>92</v>
      </c>
      <c r="BN68" t="n">
        <v>19</v>
      </c>
      <c r="BO68" t="n">
        <v>10</v>
      </c>
      <c r="BP68" t="n">
        <v>1087</v>
      </c>
      <c r="BQ68" t="n">
        <v>1765</v>
      </c>
      <c r="BR68" t="n">
        <v>3314</v>
      </c>
      <c r="BS68" t="n">
        <v>43064</v>
      </c>
    </row>
    <row r="69">
      <c r="A69" t="n">
        <v>2023</v>
      </c>
      <c r="B69" t="inlineStr">
        <is>
          <t>Sud</t>
        </is>
      </c>
      <c r="C69" t="inlineStr">
        <is>
          <t>Occitanie</t>
        </is>
      </c>
      <c r="D69" t="inlineStr">
        <is>
          <t>65</t>
        </is>
      </c>
      <c r="E69" t="inlineStr">
        <is>
          <t>Hautes-Pyr�n�es</t>
        </is>
      </c>
      <c r="F69" t="inlineStr">
        <is>
          <t>C</t>
        </is>
      </c>
      <c r="G69" t="n">
        <v>234</v>
      </c>
      <c r="H69" t="n">
        <v>119</v>
      </c>
      <c r="I69" t="n">
        <v>8</v>
      </c>
      <c r="J69" t="n">
        <v>9</v>
      </c>
      <c r="K69" t="n">
        <v>17</v>
      </c>
      <c r="L69" t="n">
        <v>7</v>
      </c>
      <c r="M69" t="n">
        <v>7</v>
      </c>
      <c r="N69" t="n">
        <v>97</v>
      </c>
      <c r="O69" t="n">
        <v>138</v>
      </c>
      <c r="P69" t="n">
        <v>239</v>
      </c>
      <c r="Q69" t="n">
        <v>112</v>
      </c>
      <c r="R69" t="n">
        <v>868</v>
      </c>
      <c r="S69" t="n">
        <v>189</v>
      </c>
      <c r="T69" t="n">
        <v>1144</v>
      </c>
      <c r="U69" t="n">
        <v>346</v>
      </c>
      <c r="V69" t="n">
        <v>1630</v>
      </c>
      <c r="W69" t="n">
        <v>0</v>
      </c>
      <c r="X69" t="n">
        <v>194</v>
      </c>
      <c r="Y69" t="n">
        <v>503</v>
      </c>
      <c r="Z69" t="n">
        <v>3771</v>
      </c>
      <c r="AA69" t="n">
        <v>20</v>
      </c>
      <c r="AB69" t="n">
        <v>2951</v>
      </c>
      <c r="AC69" t="n">
        <v>268</v>
      </c>
      <c r="AD69" t="n">
        <v>16</v>
      </c>
      <c r="AE69" t="n">
        <v>0</v>
      </c>
      <c r="AF69" t="n">
        <v>27</v>
      </c>
      <c r="AG69" t="n">
        <v>0</v>
      </c>
      <c r="AH69" t="n">
        <v>1637</v>
      </c>
      <c r="AI69" t="n">
        <v>12696</v>
      </c>
      <c r="AJ69" t="n">
        <v>817</v>
      </c>
      <c r="AK69" t="n">
        <v>4</v>
      </c>
      <c r="AL69" t="n">
        <v>821</v>
      </c>
      <c r="AM69" t="n">
        <v>13517</v>
      </c>
      <c r="AN69" t="n">
        <v>1138</v>
      </c>
      <c r="AO69" t="n">
        <v>1</v>
      </c>
      <c r="AP69" t="n">
        <v>9</v>
      </c>
      <c r="AQ69" t="n">
        <v>0</v>
      </c>
      <c r="AR69" t="n">
        <v>0</v>
      </c>
      <c r="AS69" t="n">
        <v>1148</v>
      </c>
      <c r="AT69" t="n">
        <v>93</v>
      </c>
      <c r="AU69" t="n">
        <v>89</v>
      </c>
      <c r="AV69" t="n">
        <v>46</v>
      </c>
      <c r="AW69" t="n">
        <v>5</v>
      </c>
      <c r="AX69" t="n">
        <v>0</v>
      </c>
      <c r="AY69" t="n">
        <v>233</v>
      </c>
      <c r="AZ69" t="n">
        <v>3</v>
      </c>
      <c r="BA69" t="n">
        <v>315</v>
      </c>
      <c r="BB69" t="n">
        <v>221</v>
      </c>
      <c r="BC69" t="n">
        <v>0</v>
      </c>
      <c r="BD69" t="n">
        <v>0</v>
      </c>
      <c r="BE69" t="n">
        <v>539</v>
      </c>
      <c r="BF69" t="n">
        <v>116</v>
      </c>
      <c r="BG69" t="n">
        <v>116</v>
      </c>
      <c r="BH69" t="n">
        <v>238</v>
      </c>
      <c r="BI69" t="n">
        <v>81</v>
      </c>
      <c r="BJ69" t="n">
        <v>3</v>
      </c>
      <c r="BK69" t="n">
        <v>0</v>
      </c>
      <c r="BL69" t="n">
        <v>4</v>
      </c>
      <c r="BM69" t="n">
        <v>58</v>
      </c>
      <c r="BN69" t="n">
        <v>8</v>
      </c>
      <c r="BO69" t="n">
        <v>4</v>
      </c>
      <c r="BP69" t="n">
        <v>31</v>
      </c>
      <c r="BQ69" t="n">
        <v>543</v>
      </c>
      <c r="BR69" t="n">
        <v>1082</v>
      </c>
      <c r="BS69" t="n">
        <v>16848</v>
      </c>
    </row>
    <row r="70">
      <c r="A70" t="n">
        <v>2023</v>
      </c>
      <c r="B70" t="inlineStr">
        <is>
          <t>Sud</t>
        </is>
      </c>
      <c r="C70" t="inlineStr">
        <is>
          <t>Occitanie</t>
        </is>
      </c>
      <c r="D70" t="inlineStr">
        <is>
          <t>66</t>
        </is>
      </c>
      <c r="E70" t="inlineStr">
        <is>
          <t>Pyr�n�es-Orientales</t>
        </is>
      </c>
      <c r="F70" t="inlineStr">
        <is>
          <t>B</t>
        </is>
      </c>
      <c r="G70" t="n">
        <v>518</v>
      </c>
      <c r="H70" t="n">
        <v>115</v>
      </c>
      <c r="I70" t="n">
        <v>31</v>
      </c>
      <c r="J70" t="n">
        <v>19</v>
      </c>
      <c r="K70" t="n">
        <v>19</v>
      </c>
      <c r="L70" t="n">
        <v>1</v>
      </c>
      <c r="M70" t="n">
        <v>8</v>
      </c>
      <c r="N70" t="n">
        <v>516</v>
      </c>
      <c r="O70" t="n">
        <v>467</v>
      </c>
      <c r="P70" t="n">
        <v>1368</v>
      </c>
      <c r="Q70" t="n">
        <v>333</v>
      </c>
      <c r="R70" t="n">
        <v>3280</v>
      </c>
      <c r="S70" t="n">
        <v>149</v>
      </c>
      <c r="T70" t="n">
        <v>2871</v>
      </c>
      <c r="U70" t="n">
        <v>232</v>
      </c>
      <c r="V70" t="n">
        <v>3121</v>
      </c>
      <c r="W70" t="n">
        <v>51</v>
      </c>
      <c r="X70" t="n">
        <v>51</v>
      </c>
      <c r="Y70" t="n">
        <v>9827</v>
      </c>
      <c r="Z70" t="n">
        <v>3070</v>
      </c>
      <c r="AA70" t="n">
        <v>35</v>
      </c>
      <c r="AB70" t="n">
        <v>3780</v>
      </c>
      <c r="AC70" t="n">
        <v>580</v>
      </c>
      <c r="AD70" t="n">
        <v>53</v>
      </c>
      <c r="AE70" t="n">
        <v>61</v>
      </c>
      <c r="AF70" t="n">
        <v>21</v>
      </c>
      <c r="AG70" t="n">
        <v>15</v>
      </c>
      <c r="AH70" t="n">
        <v>5</v>
      </c>
      <c r="AI70" t="n">
        <v>23907</v>
      </c>
      <c r="AJ70" t="n">
        <v>4203</v>
      </c>
      <c r="AK70" t="n">
        <v>50</v>
      </c>
      <c r="AL70" t="n">
        <v>4253</v>
      </c>
      <c r="AM70" t="n">
        <v>28160</v>
      </c>
      <c r="AN70" t="n">
        <v>2647</v>
      </c>
      <c r="AO70" t="n">
        <v>2</v>
      </c>
      <c r="AP70" t="n">
        <v>4</v>
      </c>
      <c r="AQ70" t="n">
        <v>3</v>
      </c>
      <c r="AR70" t="n">
        <v>0</v>
      </c>
      <c r="AS70" t="n">
        <v>2656</v>
      </c>
      <c r="AT70" t="n">
        <v>222</v>
      </c>
      <c r="AU70" t="n">
        <v>19</v>
      </c>
      <c r="AV70" t="n">
        <v>104</v>
      </c>
      <c r="AW70" t="n">
        <v>46</v>
      </c>
      <c r="AX70" t="n">
        <v>37</v>
      </c>
      <c r="AY70" t="n">
        <v>428</v>
      </c>
      <c r="AZ70" t="n">
        <v>186</v>
      </c>
      <c r="BA70" t="n">
        <v>148</v>
      </c>
      <c r="BB70" t="n">
        <v>498</v>
      </c>
      <c r="BC70" t="n">
        <v>0</v>
      </c>
      <c r="BD70" t="n">
        <v>0</v>
      </c>
      <c r="BE70" t="n">
        <v>832</v>
      </c>
      <c r="BF70" t="n">
        <v>194</v>
      </c>
      <c r="BG70" t="n">
        <v>70</v>
      </c>
      <c r="BH70" t="n">
        <v>304</v>
      </c>
      <c r="BI70" t="n">
        <v>126</v>
      </c>
      <c r="BJ70" t="n">
        <v>7</v>
      </c>
      <c r="BK70" t="n">
        <v>1</v>
      </c>
      <c r="BL70" t="n">
        <v>19</v>
      </c>
      <c r="BM70" t="n">
        <v>151</v>
      </c>
      <c r="BN70" t="n">
        <v>0</v>
      </c>
      <c r="BO70" t="n">
        <v>0</v>
      </c>
      <c r="BP70" t="n">
        <v>302</v>
      </c>
      <c r="BQ70" t="n">
        <v>1104</v>
      </c>
      <c r="BR70" t="n">
        <v>1936</v>
      </c>
      <c r="BS70" t="n">
        <v>36460</v>
      </c>
    </row>
    <row r="71">
      <c r="A71" t="n">
        <v>2023</v>
      </c>
      <c r="B71" t="inlineStr">
        <is>
          <t>Est</t>
        </is>
      </c>
      <c r="C71" t="inlineStr">
        <is>
          <t>Grand Est</t>
        </is>
      </c>
      <c r="D71" t="inlineStr">
        <is>
          <t>67</t>
        </is>
      </c>
      <c r="E71" t="inlineStr">
        <is>
          <t>Bas-Rhin</t>
        </is>
      </c>
      <c r="F71" t="inlineStr">
        <is>
          <t>A</t>
        </is>
      </c>
      <c r="G71" t="n">
        <v>1306</v>
      </c>
      <c r="H71" t="n">
        <v>309</v>
      </c>
      <c r="I71" t="n">
        <v>42</v>
      </c>
      <c r="J71" t="n">
        <v>106</v>
      </c>
      <c r="K71" t="n">
        <v>80</v>
      </c>
      <c r="L71" t="n">
        <v>1</v>
      </c>
      <c r="M71" t="n">
        <v>22</v>
      </c>
      <c r="N71" t="n">
        <v>1084</v>
      </c>
      <c r="O71" t="n">
        <v>722</v>
      </c>
      <c r="P71" t="n">
        <v>648</v>
      </c>
      <c r="Q71" t="n">
        <v>436</v>
      </c>
      <c r="R71" t="n">
        <v>4447</v>
      </c>
      <c r="S71" t="n">
        <v>1351</v>
      </c>
      <c r="T71" t="n">
        <v>1236</v>
      </c>
      <c r="U71" t="n">
        <v>1176</v>
      </c>
      <c r="V71" t="n">
        <v>5241</v>
      </c>
      <c r="W71" t="n">
        <v>16</v>
      </c>
      <c r="X71" t="n">
        <v>2158</v>
      </c>
      <c r="Y71" t="n">
        <v>11303</v>
      </c>
      <c r="Z71" t="n">
        <v>8387</v>
      </c>
      <c r="AA71" t="n">
        <v>143</v>
      </c>
      <c r="AB71" t="n">
        <v>10332</v>
      </c>
      <c r="AC71" t="n">
        <v>366</v>
      </c>
      <c r="AD71" t="n">
        <v>27</v>
      </c>
      <c r="AE71" t="n">
        <v>0</v>
      </c>
      <c r="AF71" t="n">
        <v>301</v>
      </c>
      <c r="AG71" t="n">
        <v>77</v>
      </c>
      <c r="AH71" t="n">
        <v>2185</v>
      </c>
      <c r="AI71" t="n">
        <v>44222</v>
      </c>
      <c r="AJ71" t="n">
        <v>1287</v>
      </c>
      <c r="AK71" t="n">
        <v>71</v>
      </c>
      <c r="AL71" t="n">
        <v>1358</v>
      </c>
      <c r="AM71" t="n">
        <v>45580</v>
      </c>
      <c r="AN71" t="n">
        <v>2475</v>
      </c>
      <c r="AO71" t="n">
        <v>10</v>
      </c>
      <c r="AP71" t="n">
        <v>0</v>
      </c>
      <c r="AQ71" t="n">
        <v>1</v>
      </c>
      <c r="AR71" t="n">
        <v>0</v>
      </c>
      <c r="AS71" t="n">
        <v>2486</v>
      </c>
      <c r="AT71" t="n">
        <v>451</v>
      </c>
      <c r="AU71" t="n">
        <v>150</v>
      </c>
      <c r="AV71" t="n">
        <v>4</v>
      </c>
      <c r="AW71" t="n">
        <v>55</v>
      </c>
      <c r="AX71" t="n">
        <v>38</v>
      </c>
      <c r="AY71" t="n">
        <v>698</v>
      </c>
      <c r="AZ71" t="n">
        <v>798</v>
      </c>
      <c r="BA71" t="n">
        <v>91</v>
      </c>
      <c r="BB71" t="n">
        <v>1112</v>
      </c>
      <c r="BC71" t="n">
        <v>30</v>
      </c>
      <c r="BD71" t="n">
        <v>13</v>
      </c>
      <c r="BE71" t="n">
        <v>2044</v>
      </c>
      <c r="BF71" t="n">
        <v>172</v>
      </c>
      <c r="BG71" t="n">
        <v>132</v>
      </c>
      <c r="BH71" t="n">
        <v>704</v>
      </c>
      <c r="BI71" t="n">
        <v>104</v>
      </c>
      <c r="BJ71" t="n">
        <v>462</v>
      </c>
      <c r="BK71" t="n">
        <v>26</v>
      </c>
      <c r="BL71" t="n">
        <v>20</v>
      </c>
      <c r="BM71" t="n">
        <v>47</v>
      </c>
      <c r="BN71" t="n">
        <v>1</v>
      </c>
      <c r="BO71" t="n">
        <v>2</v>
      </c>
      <c r="BP71" t="n">
        <v>337</v>
      </c>
      <c r="BQ71" t="n">
        <v>1875</v>
      </c>
      <c r="BR71" t="n">
        <v>3919</v>
      </c>
      <c r="BS71" t="n">
        <v>57130</v>
      </c>
    </row>
    <row r="72">
      <c r="A72" t="n">
        <v>2023</v>
      </c>
      <c r="B72" t="inlineStr">
        <is>
          <t>Est</t>
        </is>
      </c>
      <c r="C72" t="inlineStr">
        <is>
          <t>Grand Est</t>
        </is>
      </c>
      <c r="D72" t="inlineStr">
        <is>
          <t>68</t>
        </is>
      </c>
      <c r="E72" t="inlineStr">
        <is>
          <t>Haut-Rhin</t>
        </is>
      </c>
      <c r="F72" t="inlineStr">
        <is>
          <t>B</t>
        </is>
      </c>
      <c r="G72" t="n">
        <v>749</v>
      </c>
      <c r="H72" t="n">
        <v>249</v>
      </c>
      <c r="I72" t="n">
        <v>33</v>
      </c>
      <c r="J72" t="n">
        <v>26</v>
      </c>
      <c r="K72" t="n">
        <v>23</v>
      </c>
      <c r="L72" t="n">
        <v>5</v>
      </c>
      <c r="M72" t="n">
        <v>4</v>
      </c>
      <c r="N72" t="n">
        <v>992</v>
      </c>
      <c r="O72" t="n">
        <v>524</v>
      </c>
      <c r="P72" t="n">
        <v>442</v>
      </c>
      <c r="Q72" t="n">
        <v>569</v>
      </c>
      <c r="R72" t="n">
        <v>3367</v>
      </c>
      <c r="S72" t="n">
        <v>0</v>
      </c>
      <c r="T72" t="n">
        <v>0</v>
      </c>
      <c r="U72" t="n">
        <v>429</v>
      </c>
      <c r="V72" t="n">
        <v>105</v>
      </c>
      <c r="W72" t="n">
        <v>239</v>
      </c>
      <c r="X72" t="n">
        <v>1</v>
      </c>
      <c r="Y72" t="n">
        <v>16344</v>
      </c>
      <c r="Z72" t="n">
        <v>1292</v>
      </c>
      <c r="AA72" t="n">
        <v>27</v>
      </c>
      <c r="AB72" t="n">
        <v>1204</v>
      </c>
      <c r="AC72" t="n">
        <v>691</v>
      </c>
      <c r="AD72" t="n">
        <v>33</v>
      </c>
      <c r="AE72" t="n">
        <v>0</v>
      </c>
      <c r="AF72" t="n">
        <v>92</v>
      </c>
      <c r="AG72" t="n">
        <v>82</v>
      </c>
      <c r="AH72" t="n">
        <v>8068</v>
      </c>
      <c r="AI72" t="n">
        <v>28525</v>
      </c>
      <c r="AJ72" t="n">
        <v>4073</v>
      </c>
      <c r="AK72" t="n">
        <v>97</v>
      </c>
      <c r="AL72" t="n">
        <v>4170</v>
      </c>
      <c r="AM72" t="n">
        <v>32695</v>
      </c>
      <c r="AN72" t="n">
        <v>3325</v>
      </c>
      <c r="AO72" t="n">
        <v>15</v>
      </c>
      <c r="AP72" t="n">
        <v>1</v>
      </c>
      <c r="AQ72" t="n">
        <v>1</v>
      </c>
      <c r="AR72" t="n">
        <v>0</v>
      </c>
      <c r="AS72" t="n">
        <v>3342</v>
      </c>
      <c r="AT72" t="n">
        <v>317</v>
      </c>
      <c r="AU72" t="n">
        <v>167</v>
      </c>
      <c r="AV72" t="n">
        <v>2</v>
      </c>
      <c r="AW72" t="n">
        <v>50</v>
      </c>
      <c r="AX72" t="n">
        <v>34</v>
      </c>
      <c r="AY72" t="n">
        <v>570</v>
      </c>
      <c r="AZ72" t="n">
        <v>818</v>
      </c>
      <c r="BA72" t="n">
        <v>195</v>
      </c>
      <c r="BB72" t="n">
        <v>217</v>
      </c>
      <c r="BC72" t="n">
        <v>0</v>
      </c>
      <c r="BD72" t="n">
        <v>0</v>
      </c>
      <c r="BE72" t="n">
        <v>1230</v>
      </c>
      <c r="BF72" t="n">
        <v>2401</v>
      </c>
      <c r="BG72" t="n">
        <v>0</v>
      </c>
      <c r="BH72" t="n">
        <v>562</v>
      </c>
      <c r="BI72" t="n">
        <v>2389</v>
      </c>
      <c r="BJ72" t="n">
        <v>268</v>
      </c>
      <c r="BK72" t="n">
        <v>49</v>
      </c>
      <c r="BL72" t="n">
        <v>8</v>
      </c>
      <c r="BM72" t="n">
        <v>169</v>
      </c>
      <c r="BN72" t="n">
        <v>0</v>
      </c>
      <c r="BO72" t="n">
        <v>0</v>
      </c>
      <c r="BP72" t="n">
        <v>804</v>
      </c>
      <c r="BQ72" t="n">
        <v>6650</v>
      </c>
      <c r="BR72" t="n">
        <v>7880</v>
      </c>
      <c r="BS72" t="n">
        <v>47854</v>
      </c>
    </row>
    <row r="73">
      <c r="A73" t="n">
        <v>2023</v>
      </c>
      <c r="B73" t="inlineStr">
        <is>
          <t>Sud-est</t>
        </is>
      </c>
      <c r="C73" t="inlineStr">
        <is>
          <t>Auvergne-Rh�ne-Alpes</t>
        </is>
      </c>
      <c r="D73" t="inlineStr">
        <is>
          <t>69</t>
        </is>
      </c>
      <c r="E73" t="inlineStr">
        <is>
          <t>Rh�ne</t>
        </is>
      </c>
      <c r="F73" t="inlineStr">
        <is>
          <t>A</t>
        </is>
      </c>
      <c r="G73" t="n">
        <v>529</v>
      </c>
      <c r="H73" t="n">
        <v>148</v>
      </c>
      <c r="I73" t="n">
        <v>165</v>
      </c>
      <c r="J73" t="n">
        <v>118</v>
      </c>
      <c r="K73" t="n">
        <v>189</v>
      </c>
      <c r="L73" t="n">
        <v>0</v>
      </c>
      <c r="M73" t="n">
        <v>0</v>
      </c>
      <c r="N73" t="n">
        <v>1976</v>
      </c>
      <c r="O73" t="n">
        <v>1697</v>
      </c>
      <c r="P73" t="n">
        <v>579</v>
      </c>
      <c r="Q73" t="n">
        <v>1413</v>
      </c>
      <c r="R73" t="n">
        <v>6666</v>
      </c>
      <c r="S73" t="n">
        <v>631</v>
      </c>
      <c r="T73" t="n">
        <v>3358</v>
      </c>
      <c r="U73" t="n">
        <v>0</v>
      </c>
      <c r="V73" t="n">
        <v>3567</v>
      </c>
      <c r="W73" t="n">
        <v>0</v>
      </c>
      <c r="X73" t="n">
        <v>2836</v>
      </c>
      <c r="Y73" t="n">
        <v>36142</v>
      </c>
      <c r="Z73" t="n">
        <v>3729</v>
      </c>
      <c r="AA73" t="n">
        <v>0</v>
      </c>
      <c r="AB73" t="n">
        <v>25305</v>
      </c>
      <c r="AC73" t="n">
        <v>3970</v>
      </c>
      <c r="AD73" t="n">
        <v>110</v>
      </c>
      <c r="AE73" t="n">
        <v>0</v>
      </c>
      <c r="AF73" t="n">
        <v>207</v>
      </c>
      <c r="AG73" t="n">
        <v>0</v>
      </c>
      <c r="AH73" t="n">
        <v>4</v>
      </c>
      <c r="AI73" t="n">
        <v>79859</v>
      </c>
      <c r="AJ73" t="n">
        <v>15368</v>
      </c>
      <c r="AK73" t="n">
        <v>95</v>
      </c>
      <c r="AL73" t="n">
        <v>15463</v>
      </c>
      <c r="AM73" t="n">
        <v>95322</v>
      </c>
      <c r="AN73" t="n">
        <v>7690</v>
      </c>
      <c r="AO73" t="n">
        <v>12</v>
      </c>
      <c r="AP73" t="n">
        <v>20</v>
      </c>
      <c r="AQ73" t="n">
        <v>3</v>
      </c>
      <c r="AR73" t="n">
        <v>0</v>
      </c>
      <c r="AS73" t="n">
        <v>7725</v>
      </c>
      <c r="AT73" t="n">
        <v>1186</v>
      </c>
      <c r="AU73" t="n">
        <v>13</v>
      </c>
      <c r="AV73" t="n">
        <v>0</v>
      </c>
      <c r="AW73" t="n">
        <v>25</v>
      </c>
      <c r="AX73" t="n">
        <v>6</v>
      </c>
      <c r="AY73" t="n">
        <v>1230</v>
      </c>
      <c r="AZ73" t="n">
        <v>128</v>
      </c>
      <c r="BA73" t="n">
        <v>1728</v>
      </c>
      <c r="BB73" t="n">
        <v>441</v>
      </c>
      <c r="BC73" t="n">
        <v>16</v>
      </c>
      <c r="BD73" t="n">
        <v>0</v>
      </c>
      <c r="BE73" t="n">
        <v>2313</v>
      </c>
      <c r="BF73" t="n">
        <v>0</v>
      </c>
      <c r="BG73" t="n">
        <v>0</v>
      </c>
      <c r="BH73" t="n">
        <v>248</v>
      </c>
      <c r="BI73" t="n">
        <v>1020</v>
      </c>
      <c r="BJ73" t="n">
        <v>799</v>
      </c>
      <c r="BK73" t="n">
        <v>0</v>
      </c>
      <c r="BL73" t="n">
        <v>2</v>
      </c>
      <c r="BM73" t="n">
        <v>0</v>
      </c>
      <c r="BN73" t="n">
        <v>0</v>
      </c>
      <c r="BO73" t="n">
        <v>0</v>
      </c>
      <c r="BP73" t="n">
        <v>1714</v>
      </c>
      <c r="BQ73" t="n">
        <v>3783</v>
      </c>
      <c r="BR73" t="n">
        <v>6096</v>
      </c>
      <c r="BS73" t="n">
        <v>117039</v>
      </c>
    </row>
    <row r="74">
      <c r="A74" t="n">
        <v>2023</v>
      </c>
      <c r="B74" t="inlineStr">
        <is>
          <t>Est</t>
        </is>
      </c>
      <c r="C74" t="inlineStr">
        <is>
          <t>Bourgogne-Franche-Comt�</t>
        </is>
      </c>
      <c r="D74" t="inlineStr">
        <is>
          <t>70</t>
        </is>
      </c>
      <c r="E74" t="inlineStr">
        <is>
          <t>Haute-Sa�ne</t>
        </is>
      </c>
      <c r="F74" t="inlineStr">
        <is>
          <t>C</t>
        </is>
      </c>
      <c r="G74" t="n">
        <v>575</v>
      </c>
      <c r="H74" t="n">
        <v>324</v>
      </c>
      <c r="I74" t="n">
        <v>6</v>
      </c>
      <c r="J74" t="n">
        <v>13</v>
      </c>
      <c r="K74" t="n">
        <v>11</v>
      </c>
      <c r="L74" t="n">
        <v>0</v>
      </c>
      <c r="M74" t="n">
        <v>20</v>
      </c>
      <c r="N74" t="n">
        <v>120</v>
      </c>
      <c r="O74" t="n">
        <v>223</v>
      </c>
      <c r="P74" t="n">
        <v>319</v>
      </c>
      <c r="Q74" t="n">
        <v>66</v>
      </c>
      <c r="R74" t="n">
        <v>1353</v>
      </c>
      <c r="S74" t="n">
        <v>353</v>
      </c>
      <c r="T74" t="n">
        <v>1618</v>
      </c>
      <c r="U74" t="n">
        <v>334</v>
      </c>
      <c r="V74" t="n">
        <v>2652</v>
      </c>
      <c r="W74" t="n">
        <v>0</v>
      </c>
      <c r="X74" t="n">
        <v>0</v>
      </c>
      <c r="Y74" t="n">
        <v>4766</v>
      </c>
      <c r="Z74" t="n">
        <v>2274</v>
      </c>
      <c r="AA74" t="n">
        <v>0</v>
      </c>
      <c r="AB74" t="n">
        <v>770</v>
      </c>
      <c r="AC74" t="n">
        <v>9</v>
      </c>
      <c r="AD74" t="n">
        <v>7</v>
      </c>
      <c r="AE74" t="n">
        <v>0</v>
      </c>
      <c r="AF74" t="n">
        <v>16</v>
      </c>
      <c r="AG74" t="n">
        <v>16</v>
      </c>
      <c r="AH74" t="n">
        <v>578</v>
      </c>
      <c r="AI74" t="n">
        <v>13377</v>
      </c>
      <c r="AJ74" t="n">
        <v>895</v>
      </c>
      <c r="AK74" t="n">
        <v>0</v>
      </c>
      <c r="AL74" t="n">
        <v>895</v>
      </c>
      <c r="AM74" t="n">
        <v>14272</v>
      </c>
      <c r="AN74" t="n">
        <v>909</v>
      </c>
      <c r="AO74" t="n">
        <v>1</v>
      </c>
      <c r="AP74" t="n">
        <v>1</v>
      </c>
      <c r="AQ74" t="n">
        <v>2</v>
      </c>
      <c r="AR74" t="n">
        <v>0</v>
      </c>
      <c r="AS74" t="n">
        <v>913</v>
      </c>
      <c r="AT74" t="n">
        <v>140</v>
      </c>
      <c r="AU74" t="n">
        <v>0</v>
      </c>
      <c r="AV74" t="n">
        <v>0</v>
      </c>
      <c r="AW74" t="n">
        <v>41</v>
      </c>
      <c r="AX74" t="n">
        <v>26</v>
      </c>
      <c r="AY74" t="n">
        <v>207</v>
      </c>
      <c r="AZ74" t="n">
        <v>225</v>
      </c>
      <c r="BA74" t="n">
        <v>45</v>
      </c>
      <c r="BB74" t="n">
        <v>0</v>
      </c>
      <c r="BC74" t="n">
        <v>0</v>
      </c>
      <c r="BD74" t="n">
        <v>0</v>
      </c>
      <c r="BE74" t="n">
        <v>270</v>
      </c>
      <c r="BF74" t="n">
        <v>222</v>
      </c>
      <c r="BG74" t="n">
        <v>134</v>
      </c>
      <c r="BH74" t="n">
        <v>240</v>
      </c>
      <c r="BI74" t="n">
        <v>359</v>
      </c>
      <c r="BJ74" t="n">
        <v>132</v>
      </c>
      <c r="BK74" t="n">
        <v>0</v>
      </c>
      <c r="BL74" t="n">
        <v>3</v>
      </c>
      <c r="BM74" t="n">
        <v>123</v>
      </c>
      <c r="BN74" t="n">
        <v>0</v>
      </c>
      <c r="BO74" t="n">
        <v>5</v>
      </c>
      <c r="BP74" t="n">
        <v>378</v>
      </c>
      <c r="BQ74" t="n">
        <v>1462</v>
      </c>
      <c r="BR74" t="n">
        <v>1732</v>
      </c>
      <c r="BS74" t="n">
        <v>18477</v>
      </c>
    </row>
    <row r="75">
      <c r="A75" t="n">
        <v>2023</v>
      </c>
      <c r="B75" t="inlineStr">
        <is>
          <t>Est</t>
        </is>
      </c>
      <c r="C75" t="inlineStr">
        <is>
          <t>Bourgogne-Franche-Comt�</t>
        </is>
      </c>
      <c r="D75" t="inlineStr">
        <is>
          <t>71</t>
        </is>
      </c>
      <c r="E75" t="inlineStr">
        <is>
          <t>Sa�ne-et-Loire</t>
        </is>
      </c>
      <c r="F75" t="inlineStr">
        <is>
          <t>B</t>
        </is>
      </c>
      <c r="G75" t="n">
        <v>669</v>
      </c>
      <c r="H75" t="n">
        <v>280</v>
      </c>
      <c r="I75" t="n">
        <v>0</v>
      </c>
      <c r="J75" t="n">
        <v>88</v>
      </c>
      <c r="K75" t="n">
        <v>74</v>
      </c>
      <c r="L75" t="n">
        <v>0</v>
      </c>
      <c r="M75" t="n">
        <v>45</v>
      </c>
      <c r="N75" t="n">
        <v>238</v>
      </c>
      <c r="O75" t="n">
        <v>443</v>
      </c>
      <c r="P75" t="n">
        <v>245</v>
      </c>
      <c r="Q75" t="n">
        <v>1093</v>
      </c>
      <c r="R75" t="n">
        <v>2895</v>
      </c>
      <c r="S75" t="n">
        <v>0</v>
      </c>
      <c r="T75" t="n">
        <v>2513</v>
      </c>
      <c r="U75" t="n">
        <v>0</v>
      </c>
      <c r="V75" t="n">
        <v>0</v>
      </c>
      <c r="W75" t="n">
        <v>0</v>
      </c>
      <c r="X75" t="n">
        <v>0</v>
      </c>
      <c r="Y75" t="n">
        <v>10567</v>
      </c>
      <c r="Z75" t="n">
        <v>3135</v>
      </c>
      <c r="AA75" t="n">
        <v>0</v>
      </c>
      <c r="AB75" t="n">
        <v>5218</v>
      </c>
      <c r="AC75" t="n">
        <v>0</v>
      </c>
      <c r="AD75" t="n">
        <v>44</v>
      </c>
      <c r="AE75" t="n">
        <v>0</v>
      </c>
      <c r="AF75" t="n">
        <v>62</v>
      </c>
      <c r="AG75" t="n">
        <v>62</v>
      </c>
      <c r="AH75" t="n">
        <v>1156</v>
      </c>
      <c r="AI75" t="n">
        <v>22695</v>
      </c>
      <c r="AJ75" t="n">
        <v>0</v>
      </c>
      <c r="AK75" t="n">
        <v>37</v>
      </c>
      <c r="AL75" t="n">
        <v>37</v>
      </c>
      <c r="AM75" t="n">
        <v>22732</v>
      </c>
      <c r="AN75" t="n">
        <v>2775</v>
      </c>
      <c r="AO75" t="n">
        <v>2</v>
      </c>
      <c r="AP75" t="n">
        <v>6</v>
      </c>
      <c r="AQ75" t="n">
        <v>4</v>
      </c>
      <c r="AR75" t="n">
        <v>0</v>
      </c>
      <c r="AS75" t="n">
        <v>2787</v>
      </c>
      <c r="AT75" t="n">
        <v>377</v>
      </c>
      <c r="AU75" t="n">
        <v>0</v>
      </c>
      <c r="AV75" t="n">
        <v>0</v>
      </c>
      <c r="AW75" t="n">
        <v>44</v>
      </c>
      <c r="AX75" t="n">
        <v>64</v>
      </c>
      <c r="AY75" t="n">
        <v>485</v>
      </c>
      <c r="AZ75" t="n">
        <v>54</v>
      </c>
      <c r="BA75" t="n">
        <v>744</v>
      </c>
      <c r="BB75" t="n">
        <v>15</v>
      </c>
      <c r="BC75" t="n">
        <v>2</v>
      </c>
      <c r="BD75" t="n">
        <v>0</v>
      </c>
      <c r="BE75" t="n">
        <v>815</v>
      </c>
      <c r="BF75" t="n">
        <v>153</v>
      </c>
      <c r="BG75" t="n">
        <v>153</v>
      </c>
      <c r="BH75" t="n">
        <v>377</v>
      </c>
      <c r="BI75" t="n">
        <v>534</v>
      </c>
      <c r="BJ75" t="n">
        <v>107</v>
      </c>
      <c r="BK75" t="n">
        <v>0</v>
      </c>
      <c r="BL75" t="n">
        <v>0</v>
      </c>
      <c r="BM75" t="n">
        <v>237</v>
      </c>
      <c r="BN75" t="n">
        <v>0</v>
      </c>
      <c r="BO75" t="n">
        <v>0</v>
      </c>
      <c r="BP75" t="n">
        <v>1124</v>
      </c>
      <c r="BQ75" t="n">
        <v>2532</v>
      </c>
      <c r="BR75" t="n">
        <v>3347</v>
      </c>
      <c r="BS75" t="n">
        <v>32246</v>
      </c>
    </row>
    <row r="76">
      <c r="A76" t="n">
        <v>2023</v>
      </c>
      <c r="B76" t="inlineStr">
        <is>
          <t>Ouest</t>
        </is>
      </c>
      <c r="C76" t="inlineStr">
        <is>
          <t>Pays de la Loire</t>
        </is>
      </c>
      <c r="D76" t="inlineStr">
        <is>
          <t>72</t>
        </is>
      </c>
      <c r="E76" t="inlineStr">
        <is>
          <t>Sarthe</t>
        </is>
      </c>
      <c r="F76" t="inlineStr">
        <is>
          <t>B</t>
        </is>
      </c>
      <c r="G76" t="n">
        <v>569</v>
      </c>
      <c r="H76" t="n">
        <v>261</v>
      </c>
      <c r="I76" t="n">
        <v>14</v>
      </c>
      <c r="J76" t="n">
        <v>41</v>
      </c>
      <c r="K76" t="n">
        <v>42</v>
      </c>
      <c r="L76" t="n">
        <v>0</v>
      </c>
      <c r="M76" t="n">
        <v>39</v>
      </c>
      <c r="N76" t="n">
        <v>145</v>
      </c>
      <c r="O76" t="n">
        <v>305</v>
      </c>
      <c r="P76" t="n">
        <v>273</v>
      </c>
      <c r="Q76" t="n">
        <v>569</v>
      </c>
      <c r="R76" t="n">
        <v>1997</v>
      </c>
      <c r="S76" t="n">
        <v>129</v>
      </c>
      <c r="T76" t="n">
        <v>1972</v>
      </c>
      <c r="U76" t="n">
        <v>197</v>
      </c>
      <c r="V76" t="n">
        <v>1004</v>
      </c>
      <c r="W76" t="n">
        <v>0</v>
      </c>
      <c r="X76" t="n">
        <v>447</v>
      </c>
      <c r="Y76" t="n">
        <v>12233</v>
      </c>
      <c r="Z76" t="n">
        <v>695</v>
      </c>
      <c r="AA76" t="n">
        <v>192</v>
      </c>
      <c r="AB76" t="n">
        <v>4693</v>
      </c>
      <c r="AC76" t="n">
        <v>887</v>
      </c>
      <c r="AD76" t="n">
        <v>48</v>
      </c>
      <c r="AE76" t="n">
        <v>0</v>
      </c>
      <c r="AF76" t="n">
        <v>28</v>
      </c>
      <c r="AG76" t="n">
        <v>26</v>
      </c>
      <c r="AH76" t="n">
        <v>161</v>
      </c>
      <c r="AI76" t="n">
        <v>22686</v>
      </c>
      <c r="AJ76" t="n">
        <v>4109</v>
      </c>
      <c r="AK76" t="n">
        <v>0</v>
      </c>
      <c r="AL76" t="n">
        <v>4109</v>
      </c>
      <c r="AM76" t="n">
        <v>26795</v>
      </c>
      <c r="AN76" t="n">
        <v>2462</v>
      </c>
      <c r="AO76" t="n">
        <v>10</v>
      </c>
      <c r="AP76" t="n">
        <v>0</v>
      </c>
      <c r="AQ76" t="n">
        <v>0</v>
      </c>
      <c r="AR76" t="n">
        <v>0</v>
      </c>
      <c r="AS76" t="n">
        <v>2472</v>
      </c>
      <c r="AT76" t="n">
        <v>172</v>
      </c>
      <c r="AU76" t="n">
        <v>0</v>
      </c>
      <c r="AV76" t="n">
        <v>121</v>
      </c>
      <c r="AW76" t="n">
        <v>23</v>
      </c>
      <c r="AX76" t="n">
        <v>2</v>
      </c>
      <c r="AY76" t="n">
        <v>318</v>
      </c>
      <c r="AZ76" t="n">
        <v>321</v>
      </c>
      <c r="BA76" t="n">
        <v>130</v>
      </c>
      <c r="BB76" t="n">
        <v>139</v>
      </c>
      <c r="BC76" t="n">
        <v>0</v>
      </c>
      <c r="BD76" t="n">
        <v>0</v>
      </c>
      <c r="BE76" t="n">
        <v>590</v>
      </c>
      <c r="BF76" t="n">
        <v>150</v>
      </c>
      <c r="BG76" t="n">
        <v>150</v>
      </c>
      <c r="BH76" t="n">
        <v>287</v>
      </c>
      <c r="BI76" t="n">
        <v>62</v>
      </c>
      <c r="BJ76" t="n">
        <v>0</v>
      </c>
      <c r="BK76" t="n">
        <v>0</v>
      </c>
      <c r="BL76" t="n">
        <v>1</v>
      </c>
      <c r="BM76" t="n">
        <v>0</v>
      </c>
      <c r="BN76" t="n">
        <v>175</v>
      </c>
      <c r="BO76" t="n">
        <v>1</v>
      </c>
      <c r="BP76" t="n">
        <v>578</v>
      </c>
      <c r="BQ76" t="n">
        <v>1254</v>
      </c>
      <c r="BR76" t="n">
        <v>1844</v>
      </c>
      <c r="BS76" t="n">
        <v>33426</v>
      </c>
    </row>
    <row r="77">
      <c r="A77" t="n">
        <v>2023</v>
      </c>
      <c r="B77" t="inlineStr">
        <is>
          <t>Sud-est</t>
        </is>
      </c>
      <c r="C77" t="inlineStr">
        <is>
          <t>Auvergne-Rh�ne-Alpes</t>
        </is>
      </c>
      <c r="D77" t="inlineStr">
        <is>
          <t>73</t>
        </is>
      </c>
      <c r="E77" t="inlineStr">
        <is>
          <t>Savoie</t>
        </is>
      </c>
      <c r="F77" t="inlineStr">
        <is>
          <t>B</t>
        </is>
      </c>
      <c r="G77" t="n">
        <v>233</v>
      </c>
      <c r="H77" t="n">
        <v>183</v>
      </c>
      <c r="I77" t="n">
        <v>31</v>
      </c>
      <c r="J77" t="n">
        <v>61</v>
      </c>
      <c r="K77" t="n">
        <v>36</v>
      </c>
      <c r="L77" t="n">
        <v>0</v>
      </c>
      <c r="M77" t="n">
        <v>14</v>
      </c>
      <c r="N77" t="n">
        <v>442</v>
      </c>
      <c r="O77" t="n">
        <v>361</v>
      </c>
      <c r="P77" t="n">
        <v>267</v>
      </c>
      <c r="Q77" t="n">
        <v>192</v>
      </c>
      <c r="R77" t="n">
        <v>1637</v>
      </c>
      <c r="S77" t="n">
        <v>346</v>
      </c>
      <c r="T77" t="n">
        <v>5828</v>
      </c>
      <c r="U77" t="n">
        <v>1001</v>
      </c>
      <c r="V77" t="n">
        <v>5631</v>
      </c>
      <c r="W77" t="n">
        <v>611</v>
      </c>
      <c r="X77" t="n">
        <v>42</v>
      </c>
      <c r="Y77" t="n">
        <v>5675</v>
      </c>
      <c r="Z77" t="n">
        <v>2171</v>
      </c>
      <c r="AA77" t="n">
        <v>40</v>
      </c>
      <c r="AB77" t="n">
        <v>2218</v>
      </c>
      <c r="AC77" t="n">
        <v>982</v>
      </c>
      <c r="AD77" t="n">
        <v>92</v>
      </c>
      <c r="AE77" t="n">
        <v>0</v>
      </c>
      <c r="AF77" t="n">
        <v>53</v>
      </c>
      <c r="AG77" t="n">
        <v>48</v>
      </c>
      <c r="AH77" t="n">
        <v>330</v>
      </c>
      <c r="AI77" t="n">
        <v>25020</v>
      </c>
      <c r="AJ77" t="n">
        <v>183</v>
      </c>
      <c r="AK77" t="n">
        <v>11</v>
      </c>
      <c r="AL77" t="n">
        <v>194</v>
      </c>
      <c r="AM77" t="n">
        <v>25214</v>
      </c>
      <c r="AN77" t="n">
        <v>2273</v>
      </c>
      <c r="AO77" t="n">
        <v>2</v>
      </c>
      <c r="AP77" t="n">
        <v>1</v>
      </c>
      <c r="AQ77" t="n">
        <v>25</v>
      </c>
      <c r="AR77" t="n">
        <v>0</v>
      </c>
      <c r="AS77" t="n">
        <v>2301</v>
      </c>
      <c r="AT77" t="n">
        <v>216</v>
      </c>
      <c r="AU77" t="n">
        <v>153</v>
      </c>
      <c r="AV77" t="n">
        <v>0</v>
      </c>
      <c r="AW77" t="n">
        <v>42</v>
      </c>
      <c r="AX77" t="n">
        <v>0</v>
      </c>
      <c r="AY77" t="n">
        <v>411</v>
      </c>
      <c r="AZ77" t="n">
        <v>559</v>
      </c>
      <c r="BA77" t="n">
        <v>13</v>
      </c>
      <c r="BB77" t="n">
        <v>125</v>
      </c>
      <c r="BC77" t="n">
        <v>0</v>
      </c>
      <c r="BD77" t="n">
        <v>0</v>
      </c>
      <c r="BE77" t="n">
        <v>697</v>
      </c>
      <c r="BF77" t="n">
        <v>197</v>
      </c>
      <c r="BG77" t="n">
        <v>0</v>
      </c>
      <c r="BH77" t="n">
        <v>407</v>
      </c>
      <c r="BI77" t="n">
        <v>131</v>
      </c>
      <c r="BJ77" t="n">
        <v>127</v>
      </c>
      <c r="BK77" t="n">
        <v>0</v>
      </c>
      <c r="BL77" t="n">
        <v>9</v>
      </c>
      <c r="BM77" t="n">
        <v>58</v>
      </c>
      <c r="BN77" t="n">
        <v>0</v>
      </c>
      <c r="BO77" t="n">
        <v>2</v>
      </c>
      <c r="BP77" t="n">
        <v>1195</v>
      </c>
      <c r="BQ77" t="n">
        <v>2126</v>
      </c>
      <c r="BR77" t="n">
        <v>2823</v>
      </c>
      <c r="BS77" t="n">
        <v>32386</v>
      </c>
    </row>
    <row r="78">
      <c r="A78" t="n">
        <v>2023</v>
      </c>
      <c r="B78" t="inlineStr">
        <is>
          <t>Sud-est</t>
        </is>
      </c>
      <c r="C78" t="inlineStr">
        <is>
          <t>Auvergne-Rh�ne-Alpes</t>
        </is>
      </c>
      <c r="D78" t="inlineStr">
        <is>
          <t>74</t>
        </is>
      </c>
      <c r="E78" t="inlineStr">
        <is>
          <t>Haute-Savoie</t>
        </is>
      </c>
      <c r="F78" t="inlineStr">
        <is>
          <t>A</t>
        </is>
      </c>
      <c r="G78" t="n">
        <v>879</v>
      </c>
      <c r="H78" t="n">
        <v>248</v>
      </c>
      <c r="I78" t="n">
        <v>0</v>
      </c>
      <c r="J78" t="n">
        <v>72</v>
      </c>
      <c r="K78" t="n">
        <v>61</v>
      </c>
      <c r="L78" t="n">
        <v>0</v>
      </c>
      <c r="M78" t="n">
        <v>15</v>
      </c>
      <c r="N78" t="n">
        <v>0</v>
      </c>
      <c r="O78" t="n">
        <v>461</v>
      </c>
      <c r="P78" t="n">
        <v>321</v>
      </c>
      <c r="Q78" t="n">
        <v>1602</v>
      </c>
      <c r="R78" t="n">
        <v>3411</v>
      </c>
      <c r="S78" t="n">
        <v>0</v>
      </c>
      <c r="T78" t="n">
        <v>7324</v>
      </c>
      <c r="U78" t="n">
        <v>1873</v>
      </c>
      <c r="V78" t="n">
        <v>4607</v>
      </c>
      <c r="W78" t="n">
        <v>489</v>
      </c>
      <c r="X78" t="n">
        <v>0</v>
      </c>
      <c r="Y78" t="n">
        <v>7123</v>
      </c>
      <c r="Z78" t="n">
        <v>12147</v>
      </c>
      <c r="AA78" t="n">
        <v>0</v>
      </c>
      <c r="AB78" t="n">
        <v>5688</v>
      </c>
      <c r="AC78" t="n">
        <v>76</v>
      </c>
      <c r="AD78" t="n">
        <v>60</v>
      </c>
      <c r="AE78" t="n">
        <v>0</v>
      </c>
      <c r="AF78" t="n">
        <v>85</v>
      </c>
      <c r="AG78" t="n">
        <v>0</v>
      </c>
      <c r="AH78" t="n">
        <v>2</v>
      </c>
      <c r="AI78" t="n">
        <v>39474</v>
      </c>
      <c r="AJ78" t="n">
        <v>2252</v>
      </c>
      <c r="AK78" t="n">
        <v>0</v>
      </c>
      <c r="AL78" t="n">
        <v>2252</v>
      </c>
      <c r="AM78" t="n">
        <v>41726</v>
      </c>
      <c r="AN78" t="n">
        <v>4367</v>
      </c>
      <c r="AO78" t="n">
        <v>0</v>
      </c>
      <c r="AP78" t="n">
        <v>4</v>
      </c>
      <c r="AQ78" t="n">
        <v>67</v>
      </c>
      <c r="AR78" t="n">
        <v>0</v>
      </c>
      <c r="AS78" t="n">
        <v>4438</v>
      </c>
      <c r="AT78" t="n">
        <v>519</v>
      </c>
      <c r="AU78" t="n">
        <v>383</v>
      </c>
      <c r="AV78" t="n">
        <v>117</v>
      </c>
      <c r="AW78" t="n">
        <v>121</v>
      </c>
      <c r="AX78" t="n">
        <v>0</v>
      </c>
      <c r="AY78" t="n">
        <v>1140</v>
      </c>
      <c r="AZ78" t="n">
        <v>0</v>
      </c>
      <c r="BA78" t="n">
        <v>2171</v>
      </c>
      <c r="BB78" t="n">
        <v>2751</v>
      </c>
      <c r="BC78" t="n">
        <v>0</v>
      </c>
      <c r="BD78" t="n">
        <v>30</v>
      </c>
      <c r="BE78" t="n">
        <v>4952</v>
      </c>
      <c r="BF78" t="n">
        <v>0</v>
      </c>
      <c r="BG78" t="n">
        <v>0</v>
      </c>
      <c r="BH78" t="n">
        <v>1808</v>
      </c>
      <c r="BI78" t="n">
        <v>193</v>
      </c>
      <c r="BJ78" t="n">
        <v>303</v>
      </c>
      <c r="BK78" t="n">
        <v>148</v>
      </c>
      <c r="BL78" t="n">
        <v>39</v>
      </c>
      <c r="BM78" t="n">
        <v>255</v>
      </c>
      <c r="BN78" t="n">
        <v>0</v>
      </c>
      <c r="BO78" t="n">
        <v>14</v>
      </c>
      <c r="BP78" t="n">
        <v>190</v>
      </c>
      <c r="BQ78" t="n">
        <v>2950</v>
      </c>
      <c r="BR78" t="n">
        <v>7902</v>
      </c>
      <c r="BS78" t="n">
        <v>58617</v>
      </c>
    </row>
    <row r="79">
      <c r="A79" t="n">
        <v>2023</v>
      </c>
      <c r="B79" t="inlineStr">
        <is>
          <t>Ouest</t>
        </is>
      </c>
      <c r="C79" t="inlineStr">
        <is>
          <t>Normandie</t>
        </is>
      </c>
      <c r="D79" t="inlineStr">
        <is>
          <t>76</t>
        </is>
      </c>
      <c r="E79" t="inlineStr">
        <is>
          <t>Seine-Maritime</t>
        </is>
      </c>
      <c r="F79" t="inlineStr">
        <is>
          <t>A</t>
        </is>
      </c>
      <c r="G79" t="n">
        <v>1856</v>
      </c>
      <c r="H79" t="n">
        <v>387</v>
      </c>
      <c r="I79" t="n">
        <v>26</v>
      </c>
      <c r="J79" t="n">
        <v>196</v>
      </c>
      <c r="K79" t="n">
        <v>147</v>
      </c>
      <c r="L79" t="n">
        <v>32</v>
      </c>
      <c r="M79" t="n">
        <v>55</v>
      </c>
      <c r="N79" t="n">
        <v>2344</v>
      </c>
      <c r="O79" t="n">
        <v>1173</v>
      </c>
      <c r="P79" t="n">
        <v>247</v>
      </c>
      <c r="Q79" t="n">
        <v>670</v>
      </c>
      <c r="R79" t="n">
        <v>6746</v>
      </c>
      <c r="S79" t="n">
        <v>4</v>
      </c>
      <c r="T79" t="n">
        <v>1286</v>
      </c>
      <c r="U79" t="n">
        <v>158</v>
      </c>
      <c r="V79" t="n">
        <v>66</v>
      </c>
      <c r="W79" t="n">
        <v>0</v>
      </c>
      <c r="X79" t="n">
        <v>340</v>
      </c>
      <c r="Y79" t="n">
        <v>24717</v>
      </c>
      <c r="Z79" t="n">
        <v>6019</v>
      </c>
      <c r="AA79" t="n">
        <v>318</v>
      </c>
      <c r="AB79" t="n">
        <v>15244</v>
      </c>
      <c r="AC79" t="n">
        <v>944</v>
      </c>
      <c r="AD79" t="n">
        <v>117</v>
      </c>
      <c r="AE79" t="n">
        <v>42</v>
      </c>
      <c r="AF79" t="n">
        <v>180</v>
      </c>
      <c r="AG79" t="n">
        <v>178</v>
      </c>
      <c r="AH79" t="n">
        <v>5105</v>
      </c>
      <c r="AI79" t="n">
        <v>54540</v>
      </c>
      <c r="AJ79" t="n">
        <v>10921</v>
      </c>
      <c r="AK79" t="n">
        <v>1</v>
      </c>
      <c r="AL79" t="n">
        <v>10922</v>
      </c>
      <c r="AM79" t="n">
        <v>65462</v>
      </c>
      <c r="AN79" t="n">
        <v>4726</v>
      </c>
      <c r="AO79" t="n">
        <v>10</v>
      </c>
      <c r="AP79" t="n">
        <v>1</v>
      </c>
      <c r="AQ79" t="n">
        <v>0</v>
      </c>
      <c r="AR79" t="n">
        <v>0</v>
      </c>
      <c r="AS79" t="n">
        <v>4737</v>
      </c>
      <c r="AT79" t="n">
        <v>721</v>
      </c>
      <c r="AU79" t="n">
        <v>198</v>
      </c>
      <c r="AV79" t="n">
        <v>26</v>
      </c>
      <c r="AW79" t="n">
        <v>141</v>
      </c>
      <c r="AX79" t="n">
        <v>31</v>
      </c>
      <c r="AY79" t="n">
        <v>1117</v>
      </c>
      <c r="AZ79" t="n">
        <v>437</v>
      </c>
      <c r="BA79" t="n">
        <v>885</v>
      </c>
      <c r="BB79" t="n">
        <v>238</v>
      </c>
      <c r="BC79" t="n">
        <v>0</v>
      </c>
      <c r="BD79" t="n">
        <v>0</v>
      </c>
      <c r="BE79" t="n">
        <v>1560</v>
      </c>
      <c r="BF79" t="n">
        <v>63</v>
      </c>
      <c r="BG79" t="n">
        <v>51</v>
      </c>
      <c r="BH79" t="n">
        <v>1054</v>
      </c>
      <c r="BI79" t="n">
        <v>728</v>
      </c>
      <c r="BJ79" t="n">
        <v>420</v>
      </c>
      <c r="BK79" t="n">
        <v>0</v>
      </c>
      <c r="BL79" t="n">
        <v>37</v>
      </c>
      <c r="BM79" t="n">
        <v>34</v>
      </c>
      <c r="BN79" t="n">
        <v>32</v>
      </c>
      <c r="BO79" t="n">
        <v>3</v>
      </c>
      <c r="BP79" t="n">
        <v>909</v>
      </c>
      <c r="BQ79" t="n">
        <v>3280</v>
      </c>
      <c r="BR79" t="n">
        <v>4840</v>
      </c>
      <c r="BS79" t="n">
        <v>82902</v>
      </c>
    </row>
    <row r="80">
      <c r="A80" t="n">
        <v>2023</v>
      </c>
      <c r="B80" t="inlineStr">
        <is>
          <t>�le-de-France</t>
        </is>
      </c>
      <c r="C80" t="inlineStr">
        <is>
          <t>�le-de-France</t>
        </is>
      </c>
      <c r="D80" t="inlineStr">
        <is>
          <t>77</t>
        </is>
      </c>
      <c r="E80" t="inlineStr">
        <is>
          <t>Seine-et-Marne</t>
        </is>
      </c>
      <c r="F80" t="inlineStr">
        <is>
          <t>A</t>
        </is>
      </c>
      <c r="G80" t="n">
        <v>1175</v>
      </c>
      <c r="H80" t="n">
        <v>331</v>
      </c>
      <c r="I80" t="n">
        <v>32</v>
      </c>
      <c r="J80" t="n">
        <v>80</v>
      </c>
      <c r="K80" t="n">
        <v>91</v>
      </c>
      <c r="L80" t="n">
        <v>0</v>
      </c>
      <c r="M80" t="n">
        <v>9</v>
      </c>
      <c r="N80" t="n">
        <v>1046</v>
      </c>
      <c r="O80" t="n">
        <v>1187</v>
      </c>
      <c r="P80" t="n">
        <v>431</v>
      </c>
      <c r="Q80" t="n">
        <v>1223</v>
      </c>
      <c r="R80" t="n">
        <v>5274</v>
      </c>
      <c r="S80" t="n">
        <v>0</v>
      </c>
      <c r="T80" t="n">
        <v>6290</v>
      </c>
      <c r="U80" t="n">
        <v>0</v>
      </c>
      <c r="V80" t="n">
        <v>9353</v>
      </c>
      <c r="W80" t="n">
        <v>0</v>
      </c>
      <c r="X80" t="n">
        <v>0</v>
      </c>
      <c r="Y80" t="n">
        <v>41160</v>
      </c>
      <c r="Z80" t="n">
        <v>9907</v>
      </c>
      <c r="AA80" t="n">
        <v>0</v>
      </c>
      <c r="AB80" t="n">
        <v>11441</v>
      </c>
      <c r="AC80" t="n">
        <v>2707</v>
      </c>
      <c r="AD80" t="n">
        <v>35</v>
      </c>
      <c r="AE80" t="n">
        <v>0</v>
      </c>
      <c r="AF80" t="n">
        <v>309</v>
      </c>
      <c r="AG80" t="n">
        <v>96</v>
      </c>
      <c r="AH80" t="n">
        <v>499</v>
      </c>
      <c r="AI80" t="n">
        <v>81701</v>
      </c>
      <c r="AJ80" t="n">
        <v>5098</v>
      </c>
      <c r="AK80" t="n">
        <v>23</v>
      </c>
      <c r="AL80" t="n">
        <v>5121</v>
      </c>
      <c r="AM80" t="n">
        <v>86822</v>
      </c>
      <c r="AN80" t="n">
        <v>5559</v>
      </c>
      <c r="AO80" t="n">
        <v>14</v>
      </c>
      <c r="AP80" t="n">
        <v>4</v>
      </c>
      <c r="AQ80" t="n">
        <v>16</v>
      </c>
      <c r="AR80" t="n">
        <v>0</v>
      </c>
      <c r="AS80" t="n">
        <v>5593</v>
      </c>
      <c r="AT80" t="n">
        <v>969</v>
      </c>
      <c r="AU80" t="n">
        <v>0</v>
      </c>
      <c r="AV80" t="n">
        <v>97</v>
      </c>
      <c r="AW80" t="n">
        <v>62</v>
      </c>
      <c r="AX80" t="n">
        <v>0</v>
      </c>
      <c r="AY80" t="n">
        <v>1128</v>
      </c>
      <c r="AZ80" t="n">
        <v>1036</v>
      </c>
      <c r="BA80" t="n">
        <v>144</v>
      </c>
      <c r="BB80" t="n">
        <v>3417</v>
      </c>
      <c r="BC80" t="n">
        <v>0</v>
      </c>
      <c r="BD80" t="n">
        <v>0</v>
      </c>
      <c r="BE80" t="n">
        <v>4597</v>
      </c>
      <c r="BF80" t="n">
        <v>0</v>
      </c>
      <c r="BG80" t="n">
        <v>0</v>
      </c>
      <c r="BH80" t="n">
        <v>462</v>
      </c>
      <c r="BI80" t="n">
        <v>155</v>
      </c>
      <c r="BJ80" t="n">
        <v>6</v>
      </c>
      <c r="BK80" t="n">
        <v>0</v>
      </c>
      <c r="BL80" t="n">
        <v>21</v>
      </c>
      <c r="BM80" t="n">
        <v>27</v>
      </c>
      <c r="BN80" t="n">
        <v>0</v>
      </c>
      <c r="BO80" t="n">
        <v>1</v>
      </c>
      <c r="BP80" t="n">
        <v>97</v>
      </c>
      <c r="BQ80" t="n">
        <v>769</v>
      </c>
      <c r="BR80" t="n">
        <v>5366</v>
      </c>
      <c r="BS80" t="n">
        <v>104183</v>
      </c>
    </row>
    <row r="81">
      <c r="A81" t="n">
        <v>2023</v>
      </c>
      <c r="B81" t="inlineStr">
        <is>
          <t>�le-de-France</t>
        </is>
      </c>
      <c r="C81" t="inlineStr">
        <is>
          <t>�le-de-France</t>
        </is>
      </c>
      <c r="D81" t="inlineStr">
        <is>
          <t>78</t>
        </is>
      </c>
      <c r="E81" t="inlineStr">
        <is>
          <t>Yvelines</t>
        </is>
      </c>
      <c r="F81" t="inlineStr">
        <is>
          <t>A</t>
        </is>
      </c>
      <c r="G81" t="n">
        <v>1041</v>
      </c>
      <c r="H81" t="n">
        <v>238</v>
      </c>
      <c r="I81" t="n">
        <v>38</v>
      </c>
      <c r="J81" t="n">
        <v>127</v>
      </c>
      <c r="K81" t="n">
        <v>62</v>
      </c>
      <c r="L81" t="n">
        <v>0</v>
      </c>
      <c r="M81" t="n">
        <v>6</v>
      </c>
      <c r="N81" t="n">
        <v>1511</v>
      </c>
      <c r="O81" t="n">
        <v>1077</v>
      </c>
      <c r="P81" t="n">
        <v>475</v>
      </c>
      <c r="Q81" t="n">
        <v>1138</v>
      </c>
      <c r="R81" t="n">
        <v>5475</v>
      </c>
      <c r="S81" t="n">
        <v>4</v>
      </c>
      <c r="T81" t="n">
        <v>17996</v>
      </c>
      <c r="U81" t="n">
        <v>0</v>
      </c>
      <c r="V81" t="n">
        <v>151</v>
      </c>
      <c r="W81" t="n">
        <v>0</v>
      </c>
      <c r="X81" t="n">
        <v>0</v>
      </c>
      <c r="Y81" t="n">
        <v>2449</v>
      </c>
      <c r="Z81" t="n">
        <v>31012</v>
      </c>
      <c r="AA81" t="n">
        <v>0</v>
      </c>
      <c r="AB81" t="n">
        <v>8141</v>
      </c>
      <c r="AC81" t="n">
        <v>2920</v>
      </c>
      <c r="AD81" t="n">
        <v>35</v>
      </c>
      <c r="AE81" t="n">
        <v>0</v>
      </c>
      <c r="AF81" t="n">
        <v>999</v>
      </c>
      <c r="AG81" t="n">
        <v>83</v>
      </c>
      <c r="AH81" t="n">
        <v>10823</v>
      </c>
      <c r="AI81" t="n">
        <v>74530</v>
      </c>
      <c r="AJ81" t="n">
        <v>5618</v>
      </c>
      <c r="AK81" t="n">
        <v>18</v>
      </c>
      <c r="AL81" t="n">
        <v>5636</v>
      </c>
      <c r="AM81" t="n">
        <v>80166</v>
      </c>
      <c r="AN81" t="n">
        <v>4627</v>
      </c>
      <c r="AO81" t="n">
        <v>19</v>
      </c>
      <c r="AP81" t="n">
        <v>3</v>
      </c>
      <c r="AQ81" t="n">
        <v>6</v>
      </c>
      <c r="AR81" t="n">
        <v>0</v>
      </c>
      <c r="AS81" t="n">
        <v>4655</v>
      </c>
      <c r="AT81" t="n">
        <v>623</v>
      </c>
      <c r="AU81" t="n">
        <v>233</v>
      </c>
      <c r="AV81" t="n">
        <v>170</v>
      </c>
      <c r="AW81" t="n">
        <v>65</v>
      </c>
      <c r="AX81" t="n">
        <v>0</v>
      </c>
      <c r="AY81" t="n">
        <v>1091</v>
      </c>
      <c r="AZ81" t="n">
        <v>1205</v>
      </c>
      <c r="BA81" t="n">
        <v>1</v>
      </c>
      <c r="BB81" t="n">
        <v>378</v>
      </c>
      <c r="BC81" t="n">
        <v>0</v>
      </c>
      <c r="BD81" t="n">
        <v>0</v>
      </c>
      <c r="BE81" t="n">
        <v>1584</v>
      </c>
      <c r="BF81" t="n">
        <v>1300</v>
      </c>
      <c r="BG81" t="n">
        <v>0</v>
      </c>
      <c r="BH81" t="n">
        <v>678</v>
      </c>
      <c r="BI81" t="n">
        <v>199</v>
      </c>
      <c r="BJ81" t="n">
        <v>81</v>
      </c>
      <c r="BK81" t="n">
        <v>0</v>
      </c>
      <c r="BL81" t="n">
        <v>22</v>
      </c>
      <c r="BM81" t="n">
        <v>186</v>
      </c>
      <c r="BN81" t="n">
        <v>0</v>
      </c>
      <c r="BO81" t="n">
        <v>0</v>
      </c>
      <c r="BP81" t="n">
        <v>750</v>
      </c>
      <c r="BQ81" t="n">
        <v>3216</v>
      </c>
      <c r="BR81" t="n">
        <v>4800</v>
      </c>
      <c r="BS81" t="n">
        <v>96187</v>
      </c>
    </row>
    <row r="82">
      <c r="A82" t="n">
        <v>2023</v>
      </c>
      <c r="B82" t="inlineStr">
        <is>
          <t>Sud-ouest</t>
        </is>
      </c>
      <c r="C82" t="inlineStr">
        <is>
          <t>Nouvelle-Aquitaine</t>
        </is>
      </c>
      <c r="D82" t="inlineStr">
        <is>
          <t>79</t>
        </is>
      </c>
      <c r="E82" t="inlineStr">
        <is>
          <t>Deux-S�vres</t>
        </is>
      </c>
      <c r="F82" t="inlineStr">
        <is>
          <t>C</t>
        </is>
      </c>
      <c r="G82" t="n">
        <v>303</v>
      </c>
      <c r="H82" t="n">
        <v>143</v>
      </c>
      <c r="I82" t="n">
        <v>4</v>
      </c>
      <c r="J82" t="n">
        <v>11</v>
      </c>
      <c r="K82" t="n">
        <v>27</v>
      </c>
      <c r="L82" t="n">
        <v>1</v>
      </c>
      <c r="M82" t="n">
        <v>33</v>
      </c>
      <c r="N82" t="n">
        <v>156</v>
      </c>
      <c r="O82" t="n">
        <v>245</v>
      </c>
      <c r="P82" t="n">
        <v>304</v>
      </c>
      <c r="Q82" t="n">
        <v>172</v>
      </c>
      <c r="R82" t="n">
        <v>1256</v>
      </c>
      <c r="S82" t="n">
        <v>68</v>
      </c>
      <c r="T82" t="n">
        <v>2711</v>
      </c>
      <c r="U82" t="n">
        <v>107</v>
      </c>
      <c r="V82" t="n">
        <v>1923</v>
      </c>
      <c r="W82" t="n">
        <v>0</v>
      </c>
      <c r="X82" t="n">
        <v>261</v>
      </c>
      <c r="Y82" t="n">
        <v>5053</v>
      </c>
      <c r="Z82" t="n">
        <v>1047</v>
      </c>
      <c r="AA82" t="n">
        <v>35</v>
      </c>
      <c r="AB82" t="n">
        <v>647</v>
      </c>
      <c r="AC82" t="n">
        <v>683</v>
      </c>
      <c r="AD82" t="n">
        <v>11</v>
      </c>
      <c r="AE82" t="n">
        <v>0</v>
      </c>
      <c r="AF82" t="n">
        <v>15</v>
      </c>
      <c r="AG82" t="n">
        <v>2</v>
      </c>
      <c r="AH82" t="n">
        <v>591</v>
      </c>
      <c r="AI82" t="n">
        <v>13152</v>
      </c>
      <c r="AJ82" t="n">
        <v>1388</v>
      </c>
      <c r="AK82" t="n">
        <v>390</v>
      </c>
      <c r="AL82" t="n">
        <v>1778</v>
      </c>
      <c r="AM82" t="n">
        <v>14930</v>
      </c>
      <c r="AN82" t="n">
        <v>1617</v>
      </c>
      <c r="AO82" t="n">
        <v>0</v>
      </c>
      <c r="AP82" t="n">
        <v>2</v>
      </c>
      <c r="AQ82" t="n">
        <v>0</v>
      </c>
      <c r="AR82" t="n">
        <v>0</v>
      </c>
      <c r="AS82" t="n">
        <v>1619</v>
      </c>
      <c r="AT82" t="n">
        <v>77</v>
      </c>
      <c r="AU82" t="n">
        <v>69</v>
      </c>
      <c r="AV82" t="n">
        <v>139</v>
      </c>
      <c r="AW82" t="n">
        <v>27</v>
      </c>
      <c r="AX82" t="n">
        <v>11</v>
      </c>
      <c r="AY82" t="n">
        <v>323</v>
      </c>
      <c r="AZ82" t="n">
        <v>176</v>
      </c>
      <c r="BA82" t="n">
        <v>42</v>
      </c>
      <c r="BB82" t="n">
        <v>124</v>
      </c>
      <c r="BC82" t="n">
        <v>0</v>
      </c>
      <c r="BD82" t="n">
        <v>0</v>
      </c>
      <c r="BE82" t="n">
        <v>342</v>
      </c>
      <c r="BF82" t="n">
        <v>87</v>
      </c>
      <c r="BG82" t="n">
        <v>0</v>
      </c>
      <c r="BH82" t="n">
        <v>193</v>
      </c>
      <c r="BI82" t="n">
        <v>0</v>
      </c>
      <c r="BJ82" t="n">
        <v>71</v>
      </c>
      <c r="BK82" t="n">
        <v>2</v>
      </c>
      <c r="BL82" t="n">
        <v>19</v>
      </c>
      <c r="BM82" t="n">
        <v>55</v>
      </c>
      <c r="BN82" t="n">
        <v>0</v>
      </c>
      <c r="BO82" t="n">
        <v>1</v>
      </c>
      <c r="BP82" t="n">
        <v>450</v>
      </c>
      <c r="BQ82" t="n">
        <v>878</v>
      </c>
      <c r="BR82" t="n">
        <v>1220</v>
      </c>
      <c r="BS82" t="n">
        <v>19348</v>
      </c>
    </row>
    <row r="83">
      <c r="A83" t="n">
        <v>2023</v>
      </c>
      <c r="B83" t="inlineStr">
        <is>
          <t>Nord</t>
        </is>
      </c>
      <c r="C83" t="inlineStr">
        <is>
          <t>Hauts-de-France</t>
        </is>
      </c>
      <c r="D83" t="inlineStr">
        <is>
          <t>80</t>
        </is>
      </c>
      <c r="E83" t="inlineStr">
        <is>
          <t>Somme</t>
        </is>
      </c>
      <c r="F83" t="inlineStr">
        <is>
          <t>B</t>
        </is>
      </c>
      <c r="G83" t="n">
        <v>620</v>
      </c>
      <c r="H83" t="n">
        <v>328</v>
      </c>
      <c r="I83" t="n">
        <v>20</v>
      </c>
      <c r="J83" t="n">
        <v>19</v>
      </c>
      <c r="K83" t="n">
        <v>22</v>
      </c>
      <c r="L83" t="n">
        <v>15</v>
      </c>
      <c r="M83" t="n">
        <v>33</v>
      </c>
      <c r="N83" t="n">
        <v>743</v>
      </c>
      <c r="O83" t="n">
        <v>511</v>
      </c>
      <c r="P83" t="n">
        <v>475</v>
      </c>
      <c r="Q83" t="n">
        <v>743</v>
      </c>
      <c r="R83" t="n">
        <v>3201</v>
      </c>
      <c r="S83" t="n">
        <v>46</v>
      </c>
      <c r="T83" t="n">
        <v>2922</v>
      </c>
      <c r="U83" t="n">
        <v>669</v>
      </c>
      <c r="V83" t="n">
        <v>3971</v>
      </c>
      <c r="W83" t="n">
        <v>0</v>
      </c>
      <c r="X83" t="n">
        <v>149</v>
      </c>
      <c r="Y83" t="n">
        <v>9090</v>
      </c>
      <c r="Z83" t="n">
        <v>4232</v>
      </c>
      <c r="AA83" t="n">
        <v>0</v>
      </c>
      <c r="AB83" t="n">
        <v>7190</v>
      </c>
      <c r="AC83" t="n">
        <v>623</v>
      </c>
      <c r="AD83" t="n">
        <v>25</v>
      </c>
      <c r="AE83" t="n">
        <v>39</v>
      </c>
      <c r="AF83" t="n">
        <v>152</v>
      </c>
      <c r="AG83" t="n">
        <v>95</v>
      </c>
      <c r="AH83" t="n">
        <v>95</v>
      </c>
      <c r="AI83" t="n">
        <v>29203</v>
      </c>
      <c r="AJ83" t="n">
        <v>2765</v>
      </c>
      <c r="AK83" t="n">
        <v>11</v>
      </c>
      <c r="AL83" t="n">
        <v>2776</v>
      </c>
      <c r="AM83" t="n">
        <v>31979</v>
      </c>
      <c r="AN83" t="n">
        <v>2450</v>
      </c>
      <c r="AO83" t="n">
        <v>6</v>
      </c>
      <c r="AP83" t="n">
        <v>1</v>
      </c>
      <c r="AQ83" t="n">
        <v>0</v>
      </c>
      <c r="AR83" t="n">
        <v>0</v>
      </c>
      <c r="AS83" t="n">
        <v>2457</v>
      </c>
      <c r="AT83" t="n">
        <v>283</v>
      </c>
      <c r="AU83" t="n">
        <v>0</v>
      </c>
      <c r="AV83" t="n">
        <v>115</v>
      </c>
      <c r="AW83" t="n">
        <v>30</v>
      </c>
      <c r="AX83" t="n">
        <v>11</v>
      </c>
      <c r="AY83" t="n">
        <v>439</v>
      </c>
      <c r="AZ83" t="n">
        <v>164</v>
      </c>
      <c r="BA83" t="n">
        <v>690</v>
      </c>
      <c r="BB83" t="n">
        <v>129</v>
      </c>
      <c r="BC83" t="n">
        <v>4</v>
      </c>
      <c r="BD83" t="n">
        <v>9</v>
      </c>
      <c r="BE83" t="n">
        <v>996</v>
      </c>
      <c r="BF83" t="n">
        <v>0</v>
      </c>
      <c r="BG83" t="n">
        <v>0</v>
      </c>
      <c r="BH83" t="n">
        <v>267</v>
      </c>
      <c r="BI83" t="n">
        <v>883</v>
      </c>
      <c r="BJ83" t="n">
        <v>88</v>
      </c>
      <c r="BK83" t="n">
        <v>2</v>
      </c>
      <c r="BL83" t="n">
        <v>10</v>
      </c>
      <c r="BM83" t="n">
        <v>301</v>
      </c>
      <c r="BN83" t="n">
        <v>16</v>
      </c>
      <c r="BO83" t="n">
        <v>17</v>
      </c>
      <c r="BP83" t="n">
        <v>578</v>
      </c>
      <c r="BQ83" t="n">
        <v>2162</v>
      </c>
      <c r="BR83" t="n">
        <v>3158</v>
      </c>
      <c r="BS83" t="n">
        <v>41234</v>
      </c>
    </row>
    <row r="84">
      <c r="A84" t="n">
        <v>2023</v>
      </c>
      <c r="B84" t="inlineStr">
        <is>
          <t>Sud</t>
        </is>
      </c>
      <c r="C84" t="inlineStr">
        <is>
          <t>Occitanie</t>
        </is>
      </c>
      <c r="D84" t="inlineStr">
        <is>
          <t>81</t>
        </is>
      </c>
      <c r="E84" t="inlineStr">
        <is>
          <t>Tarn</t>
        </is>
      </c>
      <c r="F84" t="inlineStr">
        <is>
          <t>B</t>
        </is>
      </c>
      <c r="G84" t="n">
        <v>376</v>
      </c>
      <c r="H84" t="n">
        <v>149</v>
      </c>
      <c r="I84" t="n">
        <v>9</v>
      </c>
      <c r="J84" t="n">
        <v>16</v>
      </c>
      <c r="K84" t="n">
        <v>24</v>
      </c>
      <c r="L84" t="n">
        <v>12</v>
      </c>
      <c r="M84" t="n">
        <v>13</v>
      </c>
      <c r="N84" t="n">
        <v>105</v>
      </c>
      <c r="O84" t="n">
        <v>248</v>
      </c>
      <c r="P84" t="n">
        <v>193</v>
      </c>
      <c r="Q84" t="n">
        <v>524</v>
      </c>
      <c r="R84" t="n">
        <v>1520</v>
      </c>
      <c r="S84" t="n">
        <v>169</v>
      </c>
      <c r="T84" t="n">
        <v>6413</v>
      </c>
      <c r="U84" t="n">
        <v>10</v>
      </c>
      <c r="V84" t="n">
        <v>2178</v>
      </c>
      <c r="W84" t="n">
        <v>0</v>
      </c>
      <c r="X84" t="n">
        <v>33</v>
      </c>
      <c r="Y84" t="n">
        <v>1928</v>
      </c>
      <c r="Z84" t="n">
        <v>4573</v>
      </c>
      <c r="AA84" t="n">
        <v>0</v>
      </c>
      <c r="AB84" t="n">
        <v>1880</v>
      </c>
      <c r="AC84" t="n">
        <v>22</v>
      </c>
      <c r="AD84" t="n">
        <v>11</v>
      </c>
      <c r="AE84" t="n">
        <v>0</v>
      </c>
      <c r="AF84" t="n">
        <v>35</v>
      </c>
      <c r="AG84" t="n">
        <v>7</v>
      </c>
      <c r="AH84" t="n">
        <v>25</v>
      </c>
      <c r="AI84" t="n">
        <v>17277</v>
      </c>
      <c r="AJ84" t="n">
        <v>2143</v>
      </c>
      <c r="AK84" t="n">
        <v>3</v>
      </c>
      <c r="AL84" t="n">
        <v>2146</v>
      </c>
      <c r="AM84" t="n">
        <v>19423</v>
      </c>
      <c r="AN84" t="n">
        <v>1908</v>
      </c>
      <c r="AO84" t="n">
        <v>0</v>
      </c>
      <c r="AP84" t="n">
        <v>3</v>
      </c>
      <c r="AQ84" t="n">
        <v>1</v>
      </c>
      <c r="AR84" t="n">
        <v>0</v>
      </c>
      <c r="AS84" t="n">
        <v>1912</v>
      </c>
      <c r="AT84" t="n">
        <v>118</v>
      </c>
      <c r="AU84" t="n">
        <v>93</v>
      </c>
      <c r="AV84" t="n">
        <v>93</v>
      </c>
      <c r="AW84" t="n">
        <v>24</v>
      </c>
      <c r="AX84" t="n">
        <v>0</v>
      </c>
      <c r="AY84" t="n">
        <v>328</v>
      </c>
      <c r="AZ84" t="n">
        <v>123</v>
      </c>
      <c r="BA84" t="n">
        <v>78</v>
      </c>
      <c r="BB84" t="n">
        <v>169</v>
      </c>
      <c r="BC84" t="n">
        <v>0</v>
      </c>
      <c r="BD84" t="n">
        <v>0</v>
      </c>
      <c r="BE84" t="n">
        <v>370</v>
      </c>
      <c r="BF84" t="n">
        <v>0</v>
      </c>
      <c r="BG84" t="n">
        <v>0</v>
      </c>
      <c r="BH84" t="n">
        <v>359</v>
      </c>
      <c r="BI84" t="n">
        <v>209</v>
      </c>
      <c r="BJ84" t="n">
        <v>27</v>
      </c>
      <c r="BK84" t="n">
        <v>5</v>
      </c>
      <c r="BL84" t="n">
        <v>5</v>
      </c>
      <c r="BM84" t="n">
        <v>42</v>
      </c>
      <c r="BN84" t="n">
        <v>4</v>
      </c>
      <c r="BO84" t="n">
        <v>5</v>
      </c>
      <c r="BP84" t="n">
        <v>252</v>
      </c>
      <c r="BQ84" t="n">
        <v>908</v>
      </c>
      <c r="BR84" t="n">
        <v>1278</v>
      </c>
      <c r="BS84" t="n">
        <v>24461</v>
      </c>
    </row>
    <row r="85">
      <c r="A85" t="n">
        <v>2023</v>
      </c>
      <c r="B85" t="inlineStr">
        <is>
          <t>Sud</t>
        </is>
      </c>
      <c r="C85" t="inlineStr">
        <is>
          <t>Occitanie</t>
        </is>
      </c>
      <c r="D85" t="inlineStr">
        <is>
          <t>82</t>
        </is>
      </c>
      <c r="E85" t="inlineStr">
        <is>
          <t>Tarn-et-Garonne</t>
        </is>
      </c>
      <c r="F85" t="inlineStr">
        <is>
          <t>C</t>
        </is>
      </c>
      <c r="G85" t="n">
        <v>295</v>
      </c>
      <c r="H85" t="n">
        <v>139</v>
      </c>
      <c r="I85" t="n">
        <v>1</v>
      </c>
      <c r="J85" t="n">
        <v>2</v>
      </c>
      <c r="K85" t="n">
        <v>8</v>
      </c>
      <c r="L85" t="n">
        <v>4</v>
      </c>
      <c r="M85" t="n">
        <v>14</v>
      </c>
      <c r="N85" t="n">
        <v>102</v>
      </c>
      <c r="O85" t="n">
        <v>191</v>
      </c>
      <c r="P85" t="n">
        <v>365</v>
      </c>
      <c r="Q85" t="n">
        <v>265</v>
      </c>
      <c r="R85" t="n">
        <v>1247</v>
      </c>
      <c r="S85" t="n">
        <v>302</v>
      </c>
      <c r="T85" t="n">
        <v>1092</v>
      </c>
      <c r="U85" t="n">
        <v>504</v>
      </c>
      <c r="V85" t="n">
        <v>403</v>
      </c>
      <c r="W85" t="n">
        <v>0</v>
      </c>
      <c r="X85" t="n">
        <v>187</v>
      </c>
      <c r="Y85" t="n">
        <v>2353</v>
      </c>
      <c r="Z85" t="n">
        <v>4927</v>
      </c>
      <c r="AA85" t="n">
        <v>19</v>
      </c>
      <c r="AB85" t="n">
        <v>2471</v>
      </c>
      <c r="AC85" t="n">
        <v>358</v>
      </c>
      <c r="AD85" t="n">
        <v>19</v>
      </c>
      <c r="AE85" t="n">
        <v>0</v>
      </c>
      <c r="AF85" t="n">
        <v>272</v>
      </c>
      <c r="AG85" t="n">
        <v>9</v>
      </c>
      <c r="AH85" t="n">
        <v>36</v>
      </c>
      <c r="AI85" t="n">
        <v>12943</v>
      </c>
      <c r="AJ85" t="n">
        <v>1534</v>
      </c>
      <c r="AK85" t="n">
        <v>6</v>
      </c>
      <c r="AL85" t="n">
        <v>1540</v>
      </c>
      <c r="AM85" t="n">
        <v>14483</v>
      </c>
      <c r="AN85" t="n">
        <v>1561</v>
      </c>
      <c r="AO85" t="n">
        <v>6</v>
      </c>
      <c r="AP85" t="n">
        <v>2</v>
      </c>
      <c r="AQ85" t="n">
        <v>2</v>
      </c>
      <c r="AR85" t="n">
        <v>0</v>
      </c>
      <c r="AS85" t="n">
        <v>1571</v>
      </c>
      <c r="AT85" t="n">
        <v>53</v>
      </c>
      <c r="AU85" t="n">
        <v>88</v>
      </c>
      <c r="AV85" t="n">
        <v>97</v>
      </c>
      <c r="AW85" t="n">
        <v>2</v>
      </c>
      <c r="AX85" t="n">
        <v>0</v>
      </c>
      <c r="AY85" t="n">
        <v>240</v>
      </c>
      <c r="AZ85" t="n">
        <v>198</v>
      </c>
      <c r="BA85" t="n">
        <v>10</v>
      </c>
      <c r="BB85" t="n">
        <v>352</v>
      </c>
      <c r="BC85" t="n">
        <v>7</v>
      </c>
      <c r="BD85" t="n">
        <v>2</v>
      </c>
      <c r="BE85" t="n">
        <v>569</v>
      </c>
      <c r="BF85" t="n">
        <v>0</v>
      </c>
      <c r="BG85" t="n">
        <v>0</v>
      </c>
      <c r="BH85" t="n">
        <v>339</v>
      </c>
      <c r="BI85" t="n">
        <v>0</v>
      </c>
      <c r="BJ85" t="n">
        <v>90</v>
      </c>
      <c r="BK85" t="n">
        <v>6</v>
      </c>
      <c r="BL85" t="n">
        <v>5</v>
      </c>
      <c r="BM85" t="n">
        <v>10</v>
      </c>
      <c r="BN85" t="n">
        <v>0</v>
      </c>
      <c r="BO85" t="n">
        <v>6</v>
      </c>
      <c r="BP85" t="n">
        <v>1007</v>
      </c>
      <c r="BQ85" t="n">
        <v>1463</v>
      </c>
      <c r="BR85" t="n">
        <v>2032</v>
      </c>
      <c r="BS85" t="n">
        <v>19573</v>
      </c>
    </row>
    <row r="86">
      <c r="A86" t="n">
        <v>2023</v>
      </c>
      <c r="B86" t="inlineStr">
        <is>
          <t>Sud</t>
        </is>
      </c>
      <c r="C86" t="inlineStr">
        <is>
          <t>Provence-Alpes-C�te d'Azur</t>
        </is>
      </c>
      <c r="D86" t="inlineStr">
        <is>
          <t>83</t>
        </is>
      </c>
      <c r="E86" t="inlineStr">
        <is>
          <t>Var</t>
        </is>
      </c>
      <c r="F86" t="inlineStr">
        <is>
          <t>A</t>
        </is>
      </c>
      <c r="G86" t="n">
        <v>595</v>
      </c>
      <c r="H86" t="n">
        <v>0</v>
      </c>
      <c r="I86" t="n">
        <v>39</v>
      </c>
      <c r="J86" t="n">
        <v>107</v>
      </c>
      <c r="K86" t="n">
        <v>35</v>
      </c>
      <c r="L86" t="n">
        <v>0</v>
      </c>
      <c r="M86" t="n">
        <v>8</v>
      </c>
      <c r="N86" t="n">
        <v>2112</v>
      </c>
      <c r="O86" t="n">
        <v>742</v>
      </c>
      <c r="P86" t="n">
        <v>367</v>
      </c>
      <c r="Q86" t="n">
        <v>23</v>
      </c>
      <c r="R86" t="n">
        <v>4028</v>
      </c>
      <c r="S86" t="n">
        <v>2970</v>
      </c>
      <c r="T86" t="n">
        <v>14688</v>
      </c>
      <c r="U86" t="n">
        <v>120</v>
      </c>
      <c r="V86" t="n">
        <v>16006</v>
      </c>
      <c r="W86" t="n">
        <v>101</v>
      </c>
      <c r="X86" t="n">
        <v>2097</v>
      </c>
      <c r="Y86" t="n">
        <v>37699</v>
      </c>
      <c r="Z86" t="n">
        <v>2504</v>
      </c>
      <c r="AA86" t="n">
        <v>0</v>
      </c>
      <c r="AB86" t="n">
        <v>14986</v>
      </c>
      <c r="AC86" t="n">
        <v>101</v>
      </c>
      <c r="AD86" t="n">
        <v>139</v>
      </c>
      <c r="AE86" t="n">
        <v>46</v>
      </c>
      <c r="AF86" t="n">
        <v>904</v>
      </c>
      <c r="AG86" t="n">
        <v>25</v>
      </c>
      <c r="AH86" t="n">
        <v>0</v>
      </c>
      <c r="AI86" t="n">
        <v>92361</v>
      </c>
      <c r="AJ86" t="n">
        <v>8357</v>
      </c>
      <c r="AK86" t="n">
        <v>13</v>
      </c>
      <c r="AL86" t="n">
        <v>8370</v>
      </c>
      <c r="AM86" t="n">
        <v>100731</v>
      </c>
      <c r="AN86" t="n">
        <v>6926</v>
      </c>
      <c r="AO86" t="n">
        <v>3</v>
      </c>
      <c r="AP86" t="n">
        <v>6</v>
      </c>
      <c r="AQ86" t="n">
        <v>12</v>
      </c>
      <c r="AR86" t="n">
        <v>0</v>
      </c>
      <c r="AS86" t="n">
        <v>6947</v>
      </c>
      <c r="AT86" t="n">
        <v>366</v>
      </c>
      <c r="AU86" t="n">
        <v>0</v>
      </c>
      <c r="AV86" t="n">
        <v>0</v>
      </c>
      <c r="AW86" t="n">
        <v>45</v>
      </c>
      <c r="AX86" t="n">
        <v>0</v>
      </c>
      <c r="AY86" t="n">
        <v>411</v>
      </c>
      <c r="AZ86" t="n">
        <v>259</v>
      </c>
      <c r="BA86" t="n">
        <v>9</v>
      </c>
      <c r="BB86" t="n">
        <v>541</v>
      </c>
      <c r="BC86" t="n">
        <v>13</v>
      </c>
      <c r="BD86" t="n">
        <v>0</v>
      </c>
      <c r="BE86" t="n">
        <v>822</v>
      </c>
      <c r="BF86" t="n">
        <v>3974</v>
      </c>
      <c r="BG86" t="n">
        <v>0</v>
      </c>
      <c r="BH86" t="n">
        <v>845</v>
      </c>
      <c r="BI86" t="n">
        <v>149</v>
      </c>
      <c r="BJ86" t="n">
        <v>77</v>
      </c>
      <c r="BK86" t="n">
        <v>4</v>
      </c>
      <c r="BL86" t="n">
        <v>22</v>
      </c>
      <c r="BM86" t="n">
        <v>11</v>
      </c>
      <c r="BN86" t="n">
        <v>324</v>
      </c>
      <c r="BO86" t="n">
        <v>9</v>
      </c>
      <c r="BP86" t="n">
        <v>1200</v>
      </c>
      <c r="BQ86" t="n">
        <v>6615</v>
      </c>
      <c r="BR86" t="n">
        <v>7437</v>
      </c>
      <c r="BS86" t="n">
        <v>119554</v>
      </c>
    </row>
    <row r="87">
      <c r="A87" t="n">
        <v>2023</v>
      </c>
      <c r="B87" t="inlineStr">
        <is>
          <t>Sud</t>
        </is>
      </c>
      <c r="C87" t="inlineStr">
        <is>
          <t>Provence-Alpes-C�te d'Azur</t>
        </is>
      </c>
      <c r="D87" t="inlineStr">
        <is>
          <t>84</t>
        </is>
      </c>
      <c r="E87" t="inlineStr">
        <is>
          <t>Vaucluse</t>
        </is>
      </c>
      <c r="F87" t="inlineStr">
        <is>
          <t>B</t>
        </is>
      </c>
      <c r="G87" t="n">
        <v>1004</v>
      </c>
      <c r="H87" t="n">
        <v>162</v>
      </c>
      <c r="I87" t="n">
        <v>0</v>
      </c>
      <c r="J87" t="n">
        <v>93</v>
      </c>
      <c r="K87" t="n">
        <v>40</v>
      </c>
      <c r="L87" t="n">
        <v>0</v>
      </c>
      <c r="M87" t="n">
        <v>11</v>
      </c>
      <c r="N87" t="n">
        <v>362</v>
      </c>
      <c r="O87" t="n">
        <v>551</v>
      </c>
      <c r="P87" t="n">
        <v>1083</v>
      </c>
      <c r="Q87" t="n">
        <v>331</v>
      </c>
      <c r="R87" t="n">
        <v>3475</v>
      </c>
      <c r="S87" t="n">
        <v>812</v>
      </c>
      <c r="T87" t="n">
        <v>7243</v>
      </c>
      <c r="U87" t="n">
        <v>624</v>
      </c>
      <c r="V87" t="n">
        <v>3791</v>
      </c>
      <c r="W87" t="n">
        <v>0</v>
      </c>
      <c r="X87" t="n">
        <v>598</v>
      </c>
      <c r="Y87" t="n">
        <v>12621</v>
      </c>
      <c r="Z87" t="n">
        <v>2468</v>
      </c>
      <c r="AA87" t="n">
        <v>0</v>
      </c>
      <c r="AB87" t="n">
        <v>5134</v>
      </c>
      <c r="AC87" t="n">
        <v>518</v>
      </c>
      <c r="AD87" t="n">
        <v>26</v>
      </c>
      <c r="AE87" t="n">
        <v>0</v>
      </c>
      <c r="AF87" t="n">
        <v>423</v>
      </c>
      <c r="AG87" t="n">
        <v>35</v>
      </c>
      <c r="AH87" t="n">
        <v>53</v>
      </c>
      <c r="AI87" t="n">
        <v>34311</v>
      </c>
      <c r="AJ87" t="n">
        <v>35</v>
      </c>
      <c r="AK87" t="n">
        <v>21</v>
      </c>
      <c r="AL87" t="n">
        <v>56</v>
      </c>
      <c r="AM87" t="n">
        <v>34367</v>
      </c>
      <c r="AN87" t="n">
        <v>3259</v>
      </c>
      <c r="AO87" t="n">
        <v>8</v>
      </c>
      <c r="AP87" t="n">
        <v>4</v>
      </c>
      <c r="AQ87" t="n">
        <v>1</v>
      </c>
      <c r="AR87" t="n">
        <v>0</v>
      </c>
      <c r="AS87" t="n">
        <v>3272</v>
      </c>
      <c r="AT87" t="n">
        <v>310</v>
      </c>
      <c r="AU87" t="n">
        <v>113</v>
      </c>
      <c r="AV87" t="n">
        <v>0</v>
      </c>
      <c r="AW87" t="n">
        <v>24</v>
      </c>
      <c r="AX87" t="n">
        <v>0</v>
      </c>
      <c r="AY87" t="n">
        <v>447</v>
      </c>
      <c r="AZ87" t="n">
        <v>2</v>
      </c>
      <c r="BA87" t="n">
        <v>112</v>
      </c>
      <c r="BB87" t="n">
        <v>36</v>
      </c>
      <c r="BC87" t="n">
        <v>0</v>
      </c>
      <c r="BD87" t="n">
        <v>0</v>
      </c>
      <c r="BE87" t="n">
        <v>150</v>
      </c>
      <c r="BF87" t="n">
        <v>0</v>
      </c>
      <c r="BG87" t="n">
        <v>0</v>
      </c>
      <c r="BH87" t="n">
        <v>565</v>
      </c>
      <c r="BI87" t="n">
        <v>15</v>
      </c>
      <c r="BJ87" t="n">
        <v>135</v>
      </c>
      <c r="BK87" t="n">
        <v>0</v>
      </c>
      <c r="BL87" t="n">
        <v>0</v>
      </c>
      <c r="BM87" t="n">
        <v>130</v>
      </c>
      <c r="BN87" t="n">
        <v>10</v>
      </c>
      <c r="BO87" t="n">
        <v>2</v>
      </c>
      <c r="BP87" t="n">
        <v>622</v>
      </c>
      <c r="BQ87" t="n">
        <v>1479</v>
      </c>
      <c r="BR87" t="n">
        <v>1629</v>
      </c>
      <c r="BS87" t="n">
        <v>43190</v>
      </c>
    </row>
    <row r="88">
      <c r="A88" t="n">
        <v>2023</v>
      </c>
      <c r="B88" t="inlineStr">
        <is>
          <t>Ouest</t>
        </is>
      </c>
      <c r="C88" t="inlineStr">
        <is>
          <t>Pays de la Loire</t>
        </is>
      </c>
      <c r="D88" t="inlineStr">
        <is>
          <t>85</t>
        </is>
      </c>
      <c r="E88" t="inlineStr">
        <is>
          <t>Vend�e</t>
        </is>
      </c>
      <c r="F88" t="inlineStr">
        <is>
          <t>B</t>
        </is>
      </c>
      <c r="G88" t="n">
        <v>525</v>
      </c>
      <c r="H88" t="n">
        <v>210</v>
      </c>
      <c r="I88" t="n">
        <v>18</v>
      </c>
      <c r="J88" t="n">
        <v>29</v>
      </c>
      <c r="K88" t="n">
        <v>44</v>
      </c>
      <c r="L88" t="n">
        <v>57</v>
      </c>
      <c r="M88" t="n">
        <v>38</v>
      </c>
      <c r="N88" t="n">
        <v>67</v>
      </c>
      <c r="O88" t="n">
        <v>380</v>
      </c>
      <c r="P88" t="n">
        <v>240</v>
      </c>
      <c r="Q88" t="n">
        <v>928</v>
      </c>
      <c r="R88" t="n">
        <v>2326</v>
      </c>
      <c r="S88" t="n">
        <v>525</v>
      </c>
      <c r="T88" t="n">
        <v>2444</v>
      </c>
      <c r="U88" t="n">
        <v>594</v>
      </c>
      <c r="V88" t="n">
        <v>3063</v>
      </c>
      <c r="W88" t="n">
        <v>0</v>
      </c>
      <c r="X88" t="n">
        <v>421</v>
      </c>
      <c r="Y88" t="n">
        <v>10126</v>
      </c>
      <c r="Z88" t="n">
        <v>3649</v>
      </c>
      <c r="AA88" t="n">
        <v>68</v>
      </c>
      <c r="AB88" t="n">
        <v>3858</v>
      </c>
      <c r="AC88" t="n">
        <v>889</v>
      </c>
      <c r="AD88" t="n">
        <v>30</v>
      </c>
      <c r="AE88" t="n">
        <v>138</v>
      </c>
      <c r="AF88" t="n">
        <v>1031</v>
      </c>
      <c r="AG88" t="n">
        <v>24</v>
      </c>
      <c r="AH88" t="n">
        <v>0</v>
      </c>
      <c r="AI88" t="n">
        <v>26836</v>
      </c>
      <c r="AJ88" t="n">
        <v>3665</v>
      </c>
      <c r="AK88" t="n">
        <v>1897</v>
      </c>
      <c r="AL88" t="n">
        <v>5562</v>
      </c>
      <c r="AM88" t="n">
        <v>32398</v>
      </c>
      <c r="AN88" t="n">
        <v>4460</v>
      </c>
      <c r="AO88" t="n">
        <v>8</v>
      </c>
      <c r="AP88" t="n">
        <v>3</v>
      </c>
      <c r="AQ88" t="n">
        <v>2</v>
      </c>
      <c r="AR88" t="n">
        <v>0</v>
      </c>
      <c r="AS88" t="n">
        <v>4473</v>
      </c>
      <c r="AT88" t="n">
        <v>212</v>
      </c>
      <c r="AU88" t="n">
        <v>156</v>
      </c>
      <c r="AV88" t="n">
        <v>0</v>
      </c>
      <c r="AW88" t="n">
        <v>42</v>
      </c>
      <c r="AX88" t="n">
        <v>3</v>
      </c>
      <c r="AY88" t="n">
        <v>413</v>
      </c>
      <c r="AZ88" t="n">
        <v>323</v>
      </c>
      <c r="BA88" t="n">
        <v>0</v>
      </c>
      <c r="BB88" t="n">
        <v>175</v>
      </c>
      <c r="BC88" t="n">
        <v>0</v>
      </c>
      <c r="BD88" t="n">
        <v>0</v>
      </c>
      <c r="BE88" t="n">
        <v>498</v>
      </c>
      <c r="BF88" t="n">
        <v>141</v>
      </c>
      <c r="BG88" t="n">
        <v>141</v>
      </c>
      <c r="BH88" t="n">
        <v>507</v>
      </c>
      <c r="BI88" t="n">
        <v>0</v>
      </c>
      <c r="BJ88" t="n">
        <v>1373</v>
      </c>
      <c r="BK88" t="n">
        <v>0</v>
      </c>
      <c r="BL88" t="n">
        <v>9</v>
      </c>
      <c r="BM88" t="n">
        <v>0</v>
      </c>
      <c r="BN88" t="n">
        <v>5</v>
      </c>
      <c r="BO88" t="n">
        <v>2</v>
      </c>
      <c r="BP88" t="n">
        <v>554</v>
      </c>
      <c r="BQ88" t="n">
        <v>2591</v>
      </c>
      <c r="BR88" t="n">
        <v>3089</v>
      </c>
      <c r="BS88" t="n">
        <v>42699</v>
      </c>
    </row>
    <row r="89">
      <c r="A89" t="n">
        <v>2023</v>
      </c>
      <c r="B89" t="inlineStr">
        <is>
          <t>Sud-ouest</t>
        </is>
      </c>
      <c r="C89" t="inlineStr">
        <is>
          <t>Nouvelle-Aquitaine</t>
        </is>
      </c>
      <c r="D89" t="inlineStr">
        <is>
          <t>86</t>
        </is>
      </c>
      <c r="E89" t="inlineStr">
        <is>
          <t>Vienne</t>
        </is>
      </c>
      <c r="F89" t="inlineStr">
        <is>
          <t>B</t>
        </is>
      </c>
      <c r="G89" t="n">
        <v>454</v>
      </c>
      <c r="H89" t="n">
        <v>163</v>
      </c>
      <c r="I89" t="n">
        <v>24</v>
      </c>
      <c r="J89" t="n">
        <v>40</v>
      </c>
      <c r="K89" t="n">
        <v>47</v>
      </c>
      <c r="L89" t="n">
        <v>0</v>
      </c>
      <c r="M89" t="n">
        <v>35</v>
      </c>
      <c r="N89" t="n">
        <v>290</v>
      </c>
      <c r="O89" t="n">
        <v>278</v>
      </c>
      <c r="P89" t="n">
        <v>359</v>
      </c>
      <c r="Q89" t="n">
        <v>81</v>
      </c>
      <c r="R89" t="n">
        <v>1608</v>
      </c>
      <c r="S89" t="n">
        <v>137</v>
      </c>
      <c r="T89" t="n">
        <v>1028</v>
      </c>
      <c r="U89" t="n">
        <v>0</v>
      </c>
      <c r="V89" t="n">
        <v>1034</v>
      </c>
      <c r="W89" t="n">
        <v>0</v>
      </c>
      <c r="X89" t="n">
        <v>192</v>
      </c>
      <c r="Y89" t="n">
        <v>4887</v>
      </c>
      <c r="Z89" t="n">
        <v>225</v>
      </c>
      <c r="AA89" t="n">
        <v>0</v>
      </c>
      <c r="AB89" t="n">
        <v>1785</v>
      </c>
      <c r="AC89" t="n">
        <v>631</v>
      </c>
      <c r="AD89" t="n">
        <v>20</v>
      </c>
      <c r="AE89" t="n">
        <v>0</v>
      </c>
      <c r="AF89" t="n">
        <v>42</v>
      </c>
      <c r="AG89" t="n">
        <v>24</v>
      </c>
      <c r="AH89" t="n">
        <v>1191</v>
      </c>
      <c r="AI89" t="n">
        <v>11172</v>
      </c>
      <c r="AJ89" t="n">
        <v>60</v>
      </c>
      <c r="AK89" t="n">
        <v>0</v>
      </c>
      <c r="AL89" t="n">
        <v>60</v>
      </c>
      <c r="AM89" t="n">
        <v>11232</v>
      </c>
      <c r="AN89" t="n">
        <v>2215</v>
      </c>
      <c r="AO89" t="n">
        <v>0</v>
      </c>
      <c r="AP89" t="n">
        <v>0</v>
      </c>
      <c r="AQ89" t="n">
        <v>0</v>
      </c>
      <c r="AR89" t="n">
        <v>0</v>
      </c>
      <c r="AS89" t="n">
        <v>2215</v>
      </c>
      <c r="AT89" t="n">
        <v>154</v>
      </c>
      <c r="AU89" t="n">
        <v>0</v>
      </c>
      <c r="AV89" t="n">
        <v>0</v>
      </c>
      <c r="AW89" t="n">
        <v>8</v>
      </c>
      <c r="AX89" t="n">
        <v>3</v>
      </c>
      <c r="AY89" t="n">
        <v>165</v>
      </c>
      <c r="AZ89" t="n">
        <v>0</v>
      </c>
      <c r="BA89" t="n">
        <v>640</v>
      </c>
      <c r="BB89" t="n">
        <v>1066</v>
      </c>
      <c r="BC89" t="n">
        <v>0</v>
      </c>
      <c r="BD89" t="n">
        <v>0</v>
      </c>
      <c r="BE89" t="n">
        <v>1706</v>
      </c>
      <c r="BF89" t="n">
        <v>0</v>
      </c>
      <c r="BG89" t="n">
        <v>0</v>
      </c>
      <c r="BH89" t="n">
        <v>235</v>
      </c>
      <c r="BI89" t="n">
        <v>178</v>
      </c>
      <c r="BJ89" t="n">
        <v>753</v>
      </c>
      <c r="BK89" t="n">
        <v>0</v>
      </c>
      <c r="BL89" t="n">
        <v>3</v>
      </c>
      <c r="BM89" t="n">
        <v>47</v>
      </c>
      <c r="BN89" t="n">
        <v>38</v>
      </c>
      <c r="BO89" t="n">
        <v>0</v>
      </c>
      <c r="BP89" t="n">
        <v>836</v>
      </c>
      <c r="BQ89" t="n">
        <v>2090</v>
      </c>
      <c r="BR89" t="n">
        <v>3796</v>
      </c>
      <c r="BS89" t="n">
        <v>19016</v>
      </c>
    </row>
    <row r="90">
      <c r="A90" t="n">
        <v>2023</v>
      </c>
      <c r="B90" t="inlineStr">
        <is>
          <t>Sud-ouest</t>
        </is>
      </c>
      <c r="C90" t="inlineStr">
        <is>
          <t>Nouvelle-Aquitaine</t>
        </is>
      </c>
      <c r="D90" t="inlineStr">
        <is>
          <t>87</t>
        </is>
      </c>
      <c r="E90" t="inlineStr">
        <is>
          <t>Haute-Vienne</t>
        </is>
      </c>
      <c r="F90" t="inlineStr">
        <is>
          <t>C</t>
        </is>
      </c>
      <c r="G90" t="n">
        <v>416</v>
      </c>
      <c r="H90" t="n">
        <v>271</v>
      </c>
      <c r="I90" t="n">
        <v>2</v>
      </c>
      <c r="J90" t="n">
        <v>14</v>
      </c>
      <c r="K90" t="n">
        <v>8</v>
      </c>
      <c r="L90" t="n">
        <v>7</v>
      </c>
      <c r="M90" t="n">
        <v>20</v>
      </c>
      <c r="N90" t="n">
        <v>163</v>
      </c>
      <c r="O90" t="n">
        <v>209</v>
      </c>
      <c r="P90" t="n">
        <v>211</v>
      </c>
      <c r="Q90" t="n">
        <v>228</v>
      </c>
      <c r="R90" t="n">
        <v>1278</v>
      </c>
      <c r="S90" t="n">
        <v>357</v>
      </c>
      <c r="T90" t="n">
        <v>1174</v>
      </c>
      <c r="U90" t="n">
        <v>459</v>
      </c>
      <c r="V90" t="n">
        <v>1757</v>
      </c>
      <c r="W90" t="n">
        <v>0</v>
      </c>
      <c r="X90" t="n">
        <v>144</v>
      </c>
      <c r="Y90" t="n">
        <v>5997</v>
      </c>
      <c r="Z90" t="n">
        <v>425</v>
      </c>
      <c r="AA90" t="n">
        <v>17</v>
      </c>
      <c r="AB90" t="n">
        <v>3215</v>
      </c>
      <c r="AC90" t="n">
        <v>220</v>
      </c>
      <c r="AD90" t="n">
        <v>9</v>
      </c>
      <c r="AE90" t="n">
        <v>0</v>
      </c>
      <c r="AF90" t="n">
        <v>25</v>
      </c>
      <c r="AG90" t="n">
        <v>24</v>
      </c>
      <c r="AH90" t="n">
        <v>0</v>
      </c>
      <c r="AI90" t="n">
        <v>13799</v>
      </c>
      <c r="AJ90" t="n">
        <v>2942</v>
      </c>
      <c r="AK90" t="n">
        <v>2</v>
      </c>
      <c r="AL90" t="n">
        <v>2944</v>
      </c>
      <c r="AM90" t="n">
        <v>16743</v>
      </c>
      <c r="AN90" t="n">
        <v>1456</v>
      </c>
      <c r="AO90" t="n">
        <v>1</v>
      </c>
      <c r="AP90" t="n">
        <v>1</v>
      </c>
      <c r="AQ90" t="n">
        <v>0</v>
      </c>
      <c r="AR90" t="n">
        <v>0</v>
      </c>
      <c r="AS90" t="n">
        <v>1458</v>
      </c>
      <c r="AT90" t="n">
        <v>169</v>
      </c>
      <c r="AU90" t="n">
        <v>72</v>
      </c>
      <c r="AV90" t="n">
        <v>1</v>
      </c>
      <c r="AW90" t="n">
        <v>18</v>
      </c>
      <c r="AX90" t="n">
        <v>0</v>
      </c>
      <c r="AY90" t="n">
        <v>260</v>
      </c>
      <c r="AZ90" t="n">
        <v>270</v>
      </c>
      <c r="BA90" t="n">
        <v>120</v>
      </c>
      <c r="BB90" t="n">
        <v>225</v>
      </c>
      <c r="BC90" t="n">
        <v>0</v>
      </c>
      <c r="BD90" t="n">
        <v>8</v>
      </c>
      <c r="BE90" t="n">
        <v>623</v>
      </c>
      <c r="BF90" t="n">
        <v>153</v>
      </c>
      <c r="BG90" t="n">
        <v>0</v>
      </c>
      <c r="BH90" t="n">
        <v>158</v>
      </c>
      <c r="BI90" t="n">
        <v>2</v>
      </c>
      <c r="BJ90" t="n">
        <v>12</v>
      </c>
      <c r="BK90" t="n">
        <v>0</v>
      </c>
      <c r="BL90" t="n">
        <v>3</v>
      </c>
      <c r="BM90" t="n">
        <v>153</v>
      </c>
      <c r="BN90" t="n">
        <v>0</v>
      </c>
      <c r="BO90" t="n">
        <v>3</v>
      </c>
      <c r="BP90" t="n">
        <v>98</v>
      </c>
      <c r="BQ90" t="n">
        <v>582</v>
      </c>
      <c r="BR90" t="n">
        <v>1205</v>
      </c>
      <c r="BS90" t="n">
        <v>20944</v>
      </c>
    </row>
    <row r="91">
      <c r="A91" t="n">
        <v>2023</v>
      </c>
      <c r="B91" t="inlineStr">
        <is>
          <t>Est</t>
        </is>
      </c>
      <c r="C91" t="inlineStr">
        <is>
          <t>Grand Est</t>
        </is>
      </c>
      <c r="D91" t="inlineStr">
        <is>
          <t>88</t>
        </is>
      </c>
      <c r="E91" t="inlineStr">
        <is>
          <t>Vosges</t>
        </is>
      </c>
      <c r="F91" t="inlineStr">
        <is>
          <t>C</t>
        </is>
      </c>
      <c r="G91" t="n">
        <v>665</v>
      </c>
      <c r="H91" t="n">
        <v>395</v>
      </c>
      <c r="I91" t="n">
        <v>4</v>
      </c>
      <c r="J91" t="n">
        <v>45</v>
      </c>
      <c r="K91" t="n">
        <v>24</v>
      </c>
      <c r="L91" t="n">
        <v>0</v>
      </c>
      <c r="M91" t="n">
        <v>18</v>
      </c>
      <c r="N91" t="n">
        <v>306</v>
      </c>
      <c r="O91" t="n">
        <v>218</v>
      </c>
      <c r="P91" t="n">
        <v>288</v>
      </c>
      <c r="Q91" t="n">
        <v>292</v>
      </c>
      <c r="R91" t="n">
        <v>1860</v>
      </c>
      <c r="S91" t="n">
        <v>505</v>
      </c>
      <c r="T91" t="n">
        <v>3532</v>
      </c>
      <c r="U91" t="n">
        <v>0</v>
      </c>
      <c r="V91" t="n">
        <v>2578</v>
      </c>
      <c r="W91" t="n">
        <v>101</v>
      </c>
      <c r="X91" t="n">
        <v>245</v>
      </c>
      <c r="Y91" t="n">
        <v>6637</v>
      </c>
      <c r="Z91" t="n">
        <v>1138</v>
      </c>
      <c r="AA91" t="n">
        <v>0</v>
      </c>
      <c r="AB91" t="n">
        <v>3358</v>
      </c>
      <c r="AC91" t="n">
        <v>1148</v>
      </c>
      <c r="AD91" t="n">
        <v>12</v>
      </c>
      <c r="AE91" t="n">
        <v>0</v>
      </c>
      <c r="AF91" t="n">
        <v>22</v>
      </c>
      <c r="AG91" t="n">
        <v>22</v>
      </c>
      <c r="AH91" t="n">
        <v>498</v>
      </c>
      <c r="AI91" t="n">
        <v>19774</v>
      </c>
      <c r="AJ91" t="n">
        <v>1422</v>
      </c>
      <c r="AK91" t="n">
        <v>8</v>
      </c>
      <c r="AL91" t="n">
        <v>1430</v>
      </c>
      <c r="AM91" t="n">
        <v>21204</v>
      </c>
      <c r="AN91" t="n">
        <v>1592</v>
      </c>
      <c r="AO91" t="n">
        <v>5</v>
      </c>
      <c r="AP91" t="n">
        <v>0</v>
      </c>
      <c r="AQ91" t="n">
        <v>0</v>
      </c>
      <c r="AR91" t="n">
        <v>0</v>
      </c>
      <c r="AS91" t="n">
        <v>1597</v>
      </c>
      <c r="AT91" t="n">
        <v>141</v>
      </c>
      <c r="AU91" t="n">
        <v>152</v>
      </c>
      <c r="AV91" t="n">
        <v>74</v>
      </c>
      <c r="AW91" t="n">
        <v>72</v>
      </c>
      <c r="AX91" t="n">
        <v>0</v>
      </c>
      <c r="AY91" t="n">
        <v>439</v>
      </c>
      <c r="AZ91" t="n">
        <v>329</v>
      </c>
      <c r="BA91" t="n">
        <v>334</v>
      </c>
      <c r="BB91" t="n">
        <v>49</v>
      </c>
      <c r="BC91" t="n">
        <v>0</v>
      </c>
      <c r="BD91" t="n">
        <v>0</v>
      </c>
      <c r="BE91" t="n">
        <v>712</v>
      </c>
      <c r="BF91" t="n">
        <v>0</v>
      </c>
      <c r="BG91" t="n">
        <v>0</v>
      </c>
      <c r="BH91" t="n">
        <v>324</v>
      </c>
      <c r="BI91" t="n">
        <v>455</v>
      </c>
      <c r="BJ91" t="n">
        <v>322</v>
      </c>
      <c r="BK91" t="n">
        <v>0</v>
      </c>
      <c r="BL91" t="n">
        <v>2</v>
      </c>
      <c r="BM91" t="n">
        <v>47</v>
      </c>
      <c r="BN91" t="n">
        <v>34</v>
      </c>
      <c r="BO91" t="n">
        <v>0</v>
      </c>
      <c r="BP91" t="n">
        <v>334</v>
      </c>
      <c r="BQ91" t="n">
        <v>1518</v>
      </c>
      <c r="BR91" t="n">
        <v>2230</v>
      </c>
      <c r="BS91" t="n">
        <v>27330</v>
      </c>
    </row>
    <row r="92">
      <c r="A92" t="n">
        <v>2023</v>
      </c>
      <c r="B92" t="inlineStr">
        <is>
          <t>Est</t>
        </is>
      </c>
      <c r="C92" t="inlineStr">
        <is>
          <t>Bourgogne-Franche-Comt�</t>
        </is>
      </c>
      <c r="D92" t="inlineStr">
        <is>
          <t>89</t>
        </is>
      </c>
      <c r="E92" t="inlineStr">
        <is>
          <t>Yonne</t>
        </is>
      </c>
      <c r="F92" t="inlineStr">
        <is>
          <t>C</t>
        </is>
      </c>
      <c r="G92" t="n">
        <v>418</v>
      </c>
      <c r="H92" t="n">
        <v>262</v>
      </c>
      <c r="I92" t="n">
        <v>7</v>
      </c>
      <c r="J92" t="n">
        <v>17</v>
      </c>
      <c r="K92" t="n">
        <v>9</v>
      </c>
      <c r="L92" t="n">
        <v>9</v>
      </c>
      <c r="M92" t="n">
        <v>12</v>
      </c>
      <c r="N92" t="n">
        <v>178</v>
      </c>
      <c r="O92" t="n">
        <v>400</v>
      </c>
      <c r="P92" t="n">
        <v>425</v>
      </c>
      <c r="Q92" t="n">
        <v>406</v>
      </c>
      <c r="R92" t="n">
        <v>1881</v>
      </c>
      <c r="S92" t="n">
        <v>0</v>
      </c>
      <c r="T92" t="n">
        <v>59</v>
      </c>
      <c r="U92" t="n">
        <v>0</v>
      </c>
      <c r="V92" t="n">
        <v>1863</v>
      </c>
      <c r="W92" t="n">
        <v>0</v>
      </c>
      <c r="X92" t="n">
        <v>0</v>
      </c>
      <c r="Y92" t="n">
        <v>4502</v>
      </c>
      <c r="Z92" t="n">
        <v>3488</v>
      </c>
      <c r="AA92" t="n">
        <v>0</v>
      </c>
      <c r="AB92" t="n">
        <v>1880</v>
      </c>
      <c r="AC92" t="n">
        <v>328</v>
      </c>
      <c r="AD92" t="n">
        <v>8</v>
      </c>
      <c r="AE92" t="n">
        <v>0</v>
      </c>
      <c r="AF92" t="n">
        <v>19</v>
      </c>
      <c r="AG92" t="n">
        <v>12</v>
      </c>
      <c r="AH92" t="n">
        <v>18</v>
      </c>
      <c r="AI92" t="n">
        <v>12165</v>
      </c>
      <c r="AJ92" t="n">
        <v>145</v>
      </c>
      <c r="AK92" t="n">
        <v>12</v>
      </c>
      <c r="AL92" t="n">
        <v>157</v>
      </c>
      <c r="AM92" t="n">
        <v>12322</v>
      </c>
      <c r="AN92" t="n">
        <v>1536</v>
      </c>
      <c r="AO92" t="n">
        <v>4</v>
      </c>
      <c r="AP92" t="n">
        <v>0</v>
      </c>
      <c r="AQ92" t="n">
        <v>1</v>
      </c>
      <c r="AR92" t="n">
        <v>109</v>
      </c>
      <c r="AS92" t="n">
        <v>1650</v>
      </c>
      <c r="AT92" t="n">
        <v>82</v>
      </c>
      <c r="AU92" t="n">
        <v>183</v>
      </c>
      <c r="AV92" t="n">
        <v>104</v>
      </c>
      <c r="AW92" t="n">
        <v>16</v>
      </c>
      <c r="AX92" t="n">
        <v>1</v>
      </c>
      <c r="AY92" t="n">
        <v>386</v>
      </c>
      <c r="AZ92" t="n">
        <v>132</v>
      </c>
      <c r="BA92" t="n">
        <v>185</v>
      </c>
      <c r="BB92" t="n">
        <v>23</v>
      </c>
      <c r="BC92" t="n">
        <v>0</v>
      </c>
      <c r="BD92" t="n">
        <v>13</v>
      </c>
      <c r="BE92" t="n">
        <v>353</v>
      </c>
      <c r="BF92" t="n">
        <v>81</v>
      </c>
      <c r="BG92" t="n">
        <v>81</v>
      </c>
      <c r="BH92" t="n">
        <v>267</v>
      </c>
      <c r="BI92" t="n">
        <v>20</v>
      </c>
      <c r="BJ92" t="n">
        <v>660</v>
      </c>
      <c r="BK92" t="n">
        <v>0</v>
      </c>
      <c r="BL92" t="n">
        <v>8</v>
      </c>
      <c r="BM92" t="n">
        <v>47</v>
      </c>
      <c r="BN92" t="n">
        <v>29</v>
      </c>
      <c r="BO92" t="n">
        <v>0</v>
      </c>
      <c r="BP92" t="n">
        <v>118</v>
      </c>
      <c r="BQ92" t="n">
        <v>1230</v>
      </c>
      <c r="BR92" t="n">
        <v>1583</v>
      </c>
      <c r="BS92" t="n">
        <v>17822</v>
      </c>
    </row>
    <row r="93">
      <c r="A93" t="n">
        <v>2023</v>
      </c>
      <c r="B93" t="inlineStr">
        <is>
          <t>Est</t>
        </is>
      </c>
      <c r="C93" t="inlineStr">
        <is>
          <t>Bourgogne-Franche-Comt�</t>
        </is>
      </c>
      <c r="D93" t="inlineStr">
        <is>
          <t>90</t>
        </is>
      </c>
      <c r="E93" t="inlineStr">
        <is>
          <t>Territoire-de-Belfort</t>
        </is>
      </c>
      <c r="F93" t="inlineStr">
        <is>
          <t>C</t>
        </is>
      </c>
      <c r="G93" t="n">
        <v>293</v>
      </c>
      <c r="H93" t="n">
        <v>72</v>
      </c>
      <c r="I93" t="n">
        <v>1</v>
      </c>
      <c r="J93" t="n">
        <v>19</v>
      </c>
      <c r="K93" t="n">
        <v>12</v>
      </c>
      <c r="L93" t="n">
        <v>0</v>
      </c>
      <c r="M93" t="n">
        <v>0</v>
      </c>
      <c r="N93" t="n">
        <v>136</v>
      </c>
      <c r="O93" t="n">
        <v>127</v>
      </c>
      <c r="P93" t="n">
        <v>74</v>
      </c>
      <c r="Q93" t="n">
        <v>32</v>
      </c>
      <c r="R93" t="n">
        <v>694</v>
      </c>
      <c r="S93" t="n">
        <v>277</v>
      </c>
      <c r="T93" t="n">
        <v>625</v>
      </c>
      <c r="U93" t="n">
        <v>246</v>
      </c>
      <c r="V93" t="n">
        <v>1004</v>
      </c>
      <c r="W93" t="n">
        <v>12</v>
      </c>
      <c r="X93" t="n">
        <v>152</v>
      </c>
      <c r="Y93" t="n">
        <v>2885</v>
      </c>
      <c r="Z93" t="n">
        <v>392</v>
      </c>
      <c r="AA93" t="n">
        <v>0</v>
      </c>
      <c r="AB93" t="n">
        <v>1287</v>
      </c>
      <c r="AC93" t="n">
        <v>22</v>
      </c>
      <c r="AD93" t="n">
        <v>8</v>
      </c>
      <c r="AE93" t="n">
        <v>0</v>
      </c>
      <c r="AF93" t="n">
        <v>99</v>
      </c>
      <c r="AG93" t="n">
        <v>20</v>
      </c>
      <c r="AH93" t="n">
        <v>0</v>
      </c>
      <c r="AI93" t="n">
        <v>7009</v>
      </c>
      <c r="AJ93" t="n">
        <v>715</v>
      </c>
      <c r="AK93" t="n">
        <v>1</v>
      </c>
      <c r="AL93" t="n">
        <v>716</v>
      </c>
      <c r="AM93" t="n">
        <v>7725</v>
      </c>
      <c r="AN93" t="n">
        <v>511</v>
      </c>
      <c r="AO93" t="n">
        <v>2</v>
      </c>
      <c r="AP93" t="n">
        <v>1</v>
      </c>
      <c r="AQ93" t="n">
        <v>0</v>
      </c>
      <c r="AR93" t="n">
        <v>0</v>
      </c>
      <c r="AS93" t="n">
        <v>514</v>
      </c>
      <c r="AT93" t="n">
        <v>91</v>
      </c>
      <c r="AU93" t="n">
        <v>44</v>
      </c>
      <c r="AV93" t="n">
        <v>60</v>
      </c>
      <c r="AW93" t="n">
        <v>23</v>
      </c>
      <c r="AX93" t="n">
        <v>44</v>
      </c>
      <c r="AY93" t="n">
        <v>262</v>
      </c>
      <c r="AZ93" t="n">
        <v>131</v>
      </c>
      <c r="BA93" t="n">
        <v>53</v>
      </c>
      <c r="BB93" t="n">
        <v>78</v>
      </c>
      <c r="BC93" t="n">
        <v>0</v>
      </c>
      <c r="BD93" t="n">
        <v>0</v>
      </c>
      <c r="BE93" t="n">
        <v>262</v>
      </c>
      <c r="BF93" t="n">
        <v>2</v>
      </c>
      <c r="BG93" t="n">
        <v>0</v>
      </c>
      <c r="BH93" t="n">
        <v>177</v>
      </c>
      <c r="BI93" t="n">
        <v>17</v>
      </c>
      <c r="BJ93" t="n">
        <v>49</v>
      </c>
      <c r="BK93" t="n">
        <v>1</v>
      </c>
      <c r="BL93" t="n">
        <v>5</v>
      </c>
      <c r="BM93" t="n">
        <v>57</v>
      </c>
      <c r="BN93" t="n">
        <v>0</v>
      </c>
      <c r="BO93" t="n">
        <v>1</v>
      </c>
      <c r="BP93" t="n">
        <v>94</v>
      </c>
      <c r="BQ93" t="n">
        <v>403</v>
      </c>
      <c r="BR93" t="n">
        <v>665</v>
      </c>
      <c r="BS93" t="n">
        <v>9860</v>
      </c>
    </row>
    <row r="94">
      <c r="A94" t="n">
        <v>2023</v>
      </c>
      <c r="B94" t="inlineStr">
        <is>
          <t>�le-de-France</t>
        </is>
      </c>
      <c r="C94" t="inlineStr">
        <is>
          <t>�le-de-France</t>
        </is>
      </c>
      <c r="D94" t="inlineStr">
        <is>
          <t>91</t>
        </is>
      </c>
      <c r="E94" t="inlineStr">
        <is>
          <t>Essonne</t>
        </is>
      </c>
      <c r="F94" t="inlineStr">
        <is>
          <t>A</t>
        </is>
      </c>
      <c r="G94" t="n">
        <v>1115</v>
      </c>
      <c r="H94" t="n">
        <v>187</v>
      </c>
      <c r="I94" t="n">
        <v>95</v>
      </c>
      <c r="J94" t="n">
        <v>148</v>
      </c>
      <c r="K94" t="n">
        <v>79</v>
      </c>
      <c r="L94" t="n">
        <v>0</v>
      </c>
      <c r="M94" t="n">
        <v>6</v>
      </c>
      <c r="N94" t="n">
        <v>1020</v>
      </c>
      <c r="O94" t="n">
        <v>1157</v>
      </c>
      <c r="P94" t="n">
        <v>548</v>
      </c>
      <c r="Q94" t="n">
        <v>483</v>
      </c>
      <c r="R94" t="n">
        <v>4651</v>
      </c>
      <c r="S94" t="n">
        <v>512</v>
      </c>
      <c r="T94" t="n">
        <v>8406</v>
      </c>
      <c r="U94" t="n">
        <v>1506</v>
      </c>
      <c r="V94" t="n">
        <v>7875</v>
      </c>
      <c r="W94" t="n">
        <v>0</v>
      </c>
      <c r="X94" t="n">
        <v>807</v>
      </c>
      <c r="Y94" t="n">
        <v>24974</v>
      </c>
      <c r="Z94" t="n">
        <v>3767</v>
      </c>
      <c r="AA94" t="n">
        <v>373</v>
      </c>
      <c r="AB94" t="n">
        <v>15716</v>
      </c>
      <c r="AC94" t="n">
        <v>0</v>
      </c>
      <c r="AD94" t="n">
        <v>24</v>
      </c>
      <c r="AE94" t="n">
        <v>0</v>
      </c>
      <c r="AF94" t="n">
        <v>99</v>
      </c>
      <c r="AG94" t="n">
        <v>99</v>
      </c>
      <c r="AH94" t="n">
        <v>6705</v>
      </c>
      <c r="AI94" t="n">
        <v>70764</v>
      </c>
      <c r="AJ94" t="n">
        <v>6014</v>
      </c>
      <c r="AK94" t="n">
        <v>117</v>
      </c>
      <c r="AL94" t="n">
        <v>6131</v>
      </c>
      <c r="AM94" t="n">
        <v>76895</v>
      </c>
      <c r="AN94" t="n">
        <v>5155</v>
      </c>
      <c r="AO94" t="n">
        <v>1</v>
      </c>
      <c r="AP94" t="n">
        <v>3</v>
      </c>
      <c r="AQ94" t="n">
        <v>14</v>
      </c>
      <c r="AR94" t="n">
        <v>0</v>
      </c>
      <c r="AS94" t="n">
        <v>5173</v>
      </c>
      <c r="AT94" t="n">
        <v>331</v>
      </c>
      <c r="AU94" t="n">
        <v>595</v>
      </c>
      <c r="AV94" t="n">
        <v>0</v>
      </c>
      <c r="AW94" t="n">
        <v>51</v>
      </c>
      <c r="AX94" t="n">
        <v>7</v>
      </c>
      <c r="AY94" t="n">
        <v>984</v>
      </c>
      <c r="AZ94" t="n">
        <v>1173</v>
      </c>
      <c r="BA94" t="n">
        <v>29</v>
      </c>
      <c r="BB94" t="n">
        <v>722</v>
      </c>
      <c r="BC94" t="n">
        <v>2</v>
      </c>
      <c r="BD94" t="n">
        <v>0</v>
      </c>
      <c r="BE94" t="n">
        <v>1926</v>
      </c>
      <c r="BF94" t="n">
        <v>221</v>
      </c>
      <c r="BG94" t="n">
        <v>66</v>
      </c>
      <c r="BH94" t="n">
        <v>804</v>
      </c>
      <c r="BI94" t="n">
        <v>404</v>
      </c>
      <c r="BJ94" t="n">
        <v>595</v>
      </c>
      <c r="BK94" t="n">
        <v>52</v>
      </c>
      <c r="BL94" t="n">
        <v>21</v>
      </c>
      <c r="BM94" t="n">
        <v>306</v>
      </c>
      <c r="BN94" t="n">
        <v>10</v>
      </c>
      <c r="BO94" t="n">
        <v>1</v>
      </c>
      <c r="BP94" t="n">
        <v>2225</v>
      </c>
      <c r="BQ94" t="n">
        <v>4639</v>
      </c>
      <c r="BR94" t="n">
        <v>6565</v>
      </c>
      <c r="BS94" t="n">
        <v>94268</v>
      </c>
    </row>
    <row r="95">
      <c r="A95" t="n">
        <v>2023</v>
      </c>
      <c r="B95" t="inlineStr">
        <is>
          <t>�le-de-France</t>
        </is>
      </c>
      <c r="C95" t="inlineStr">
        <is>
          <t>�le-de-France</t>
        </is>
      </c>
      <c r="D95" t="inlineStr">
        <is>
          <t>95</t>
        </is>
      </c>
      <c r="E95" t="inlineStr">
        <is>
          <t>Val-d'Oise</t>
        </is>
      </c>
      <c r="F95" t="inlineStr">
        <is>
          <t>A</t>
        </is>
      </c>
      <c r="G95" t="n">
        <v>1045</v>
      </c>
      <c r="H95" t="n">
        <v>126</v>
      </c>
      <c r="I95" t="n">
        <v>4</v>
      </c>
      <c r="J95" t="n">
        <v>196</v>
      </c>
      <c r="K95" t="n">
        <v>51</v>
      </c>
      <c r="L95" t="n">
        <v>4</v>
      </c>
      <c r="M95" t="n">
        <v>4</v>
      </c>
      <c r="N95" t="n">
        <v>1825</v>
      </c>
      <c r="O95" t="n">
        <v>1024</v>
      </c>
      <c r="P95" t="n">
        <v>74</v>
      </c>
      <c r="Q95" t="n">
        <v>836</v>
      </c>
      <c r="R95" t="n">
        <v>5063</v>
      </c>
      <c r="S95" t="n">
        <v>5</v>
      </c>
      <c r="T95" t="n">
        <v>6666</v>
      </c>
      <c r="U95" t="n">
        <v>0</v>
      </c>
      <c r="V95" t="n">
        <v>6438</v>
      </c>
      <c r="W95" t="n">
        <v>0</v>
      </c>
      <c r="X95" t="n">
        <v>0</v>
      </c>
      <c r="Y95" t="n">
        <v>24973</v>
      </c>
      <c r="Z95" t="n">
        <v>1020</v>
      </c>
      <c r="AA95" t="n">
        <v>0</v>
      </c>
      <c r="AB95" t="n">
        <v>12650</v>
      </c>
      <c r="AC95" t="n">
        <v>1855</v>
      </c>
      <c r="AD95" t="n">
        <v>12</v>
      </c>
      <c r="AE95" t="n">
        <v>0</v>
      </c>
      <c r="AF95" t="n">
        <v>263</v>
      </c>
      <c r="AG95" t="n">
        <v>137</v>
      </c>
      <c r="AH95" t="n">
        <v>810</v>
      </c>
      <c r="AI95" t="n">
        <v>54692</v>
      </c>
      <c r="AJ95" t="n">
        <v>7200</v>
      </c>
      <c r="AK95" t="n">
        <v>3058</v>
      </c>
      <c r="AL95" t="n">
        <v>10258</v>
      </c>
      <c r="AM95" t="n">
        <v>64950</v>
      </c>
      <c r="AN95" t="n">
        <v>5477</v>
      </c>
      <c r="AO95" t="n">
        <v>17</v>
      </c>
      <c r="AP95" t="n">
        <v>2</v>
      </c>
      <c r="AQ95" t="n">
        <v>3</v>
      </c>
      <c r="AR95" t="n">
        <v>0</v>
      </c>
      <c r="AS95" t="n">
        <v>5499</v>
      </c>
      <c r="AT95" t="n">
        <v>699</v>
      </c>
      <c r="AU95" t="n">
        <v>355</v>
      </c>
      <c r="AV95" t="n">
        <v>195</v>
      </c>
      <c r="AW95" t="n">
        <v>45</v>
      </c>
      <c r="AX95" t="n">
        <v>232</v>
      </c>
      <c r="AY95" t="n">
        <v>1526</v>
      </c>
      <c r="AZ95" t="n">
        <v>308</v>
      </c>
      <c r="BA95" t="n">
        <v>1670</v>
      </c>
      <c r="BB95" t="n">
        <v>333</v>
      </c>
      <c r="BC95" t="n">
        <v>5</v>
      </c>
      <c r="BD95" t="n">
        <v>22</v>
      </c>
      <c r="BE95" t="n">
        <v>2338</v>
      </c>
      <c r="BF95" t="n">
        <v>0</v>
      </c>
      <c r="BG95" t="n">
        <v>0</v>
      </c>
      <c r="BH95" t="n">
        <v>1020</v>
      </c>
      <c r="BI95" t="n">
        <v>165</v>
      </c>
      <c r="BJ95" t="n">
        <v>46</v>
      </c>
      <c r="BK95" t="n">
        <v>0</v>
      </c>
      <c r="BL95" t="n">
        <v>22</v>
      </c>
      <c r="BM95" t="n">
        <v>220</v>
      </c>
      <c r="BN95" t="n">
        <v>19</v>
      </c>
      <c r="BO95" t="n">
        <v>1</v>
      </c>
      <c r="BP95" t="n">
        <v>896</v>
      </c>
      <c r="BQ95" t="n">
        <v>2389</v>
      </c>
      <c r="BR95" t="n">
        <v>4727</v>
      </c>
      <c r="BS95" t="n">
        <v>81765</v>
      </c>
    </row>
    <row r="96">
      <c r="A96" t="n">
        <v>2023</v>
      </c>
      <c r="B96" t="inlineStr">
        <is>
          <t>Antilles</t>
        </is>
      </c>
      <c r="C96" t="inlineStr">
        <is>
          <t>Guadeloupe</t>
        </is>
      </c>
      <c r="D96" t="inlineStr">
        <is>
          <t>971</t>
        </is>
      </c>
      <c r="E96" t="inlineStr">
        <is>
          <t>Guadeloupe</t>
        </is>
      </c>
      <c r="F96" t="inlineStr">
        <is>
          <t>B</t>
        </is>
      </c>
      <c r="G96" t="n">
        <v>224</v>
      </c>
      <c r="H96" t="n">
        <v>0</v>
      </c>
      <c r="I96" t="n">
        <v>6</v>
      </c>
      <c r="J96" t="n">
        <v>21</v>
      </c>
      <c r="K96" t="n">
        <v>8</v>
      </c>
      <c r="L96" t="n">
        <v>20</v>
      </c>
      <c r="M96" t="n">
        <v>0</v>
      </c>
      <c r="N96" t="n">
        <v>420</v>
      </c>
      <c r="O96" t="n">
        <v>284</v>
      </c>
      <c r="P96" t="n">
        <v>522</v>
      </c>
      <c r="Q96" t="n">
        <v>498</v>
      </c>
      <c r="R96" t="n">
        <v>2003</v>
      </c>
      <c r="S96" t="n">
        <v>331</v>
      </c>
      <c r="T96" t="n">
        <v>1241</v>
      </c>
      <c r="U96" t="n">
        <v>479</v>
      </c>
      <c r="V96" t="n">
        <v>1058</v>
      </c>
      <c r="W96" t="n">
        <v>31</v>
      </c>
      <c r="X96" t="n">
        <v>586</v>
      </c>
      <c r="Y96" t="n">
        <v>8546</v>
      </c>
      <c r="Z96" t="n">
        <v>882</v>
      </c>
      <c r="AA96" t="n">
        <v>75</v>
      </c>
      <c r="AB96" t="n">
        <v>5009</v>
      </c>
      <c r="AC96" t="n">
        <v>413</v>
      </c>
      <c r="AD96" t="n">
        <v>17</v>
      </c>
      <c r="AE96" t="n">
        <v>31</v>
      </c>
      <c r="AF96" t="n">
        <v>138</v>
      </c>
      <c r="AG96" t="n">
        <v>0</v>
      </c>
      <c r="AH96" t="n">
        <v>12015</v>
      </c>
      <c r="AI96" t="n">
        <v>30852</v>
      </c>
      <c r="AJ96" t="n">
        <v>388</v>
      </c>
      <c r="AK96" t="n">
        <v>14</v>
      </c>
      <c r="AL96" t="n">
        <v>402</v>
      </c>
      <c r="AM96" t="n">
        <v>31254</v>
      </c>
      <c r="AN96" t="n">
        <v>2793</v>
      </c>
      <c r="AO96" t="n">
        <v>0</v>
      </c>
      <c r="AP96" t="n">
        <v>2</v>
      </c>
      <c r="AQ96" t="n">
        <v>10</v>
      </c>
      <c r="AR96" t="n">
        <v>0</v>
      </c>
      <c r="AS96" t="n">
        <v>2805</v>
      </c>
      <c r="AT96" t="n">
        <v>34</v>
      </c>
      <c r="AU96" t="n">
        <v>18</v>
      </c>
      <c r="AV96" t="n">
        <v>21</v>
      </c>
      <c r="AW96" t="n">
        <v>5</v>
      </c>
      <c r="AX96" t="n">
        <v>5</v>
      </c>
      <c r="AY96" t="n">
        <v>83</v>
      </c>
      <c r="AZ96" t="n">
        <v>100</v>
      </c>
      <c r="BA96" t="n">
        <v>300</v>
      </c>
      <c r="BB96" t="n">
        <v>153</v>
      </c>
      <c r="BC96" t="n">
        <v>0</v>
      </c>
      <c r="BD96" t="n">
        <v>0</v>
      </c>
      <c r="BE96" t="n">
        <v>553</v>
      </c>
      <c r="BF96" t="n">
        <v>0</v>
      </c>
      <c r="BG96" t="n">
        <v>0</v>
      </c>
      <c r="BH96" t="n">
        <v>136</v>
      </c>
      <c r="BI96" t="n">
        <v>4</v>
      </c>
      <c r="BJ96" t="n">
        <v>18</v>
      </c>
      <c r="BK96" t="n">
        <v>9</v>
      </c>
      <c r="BL96" t="n">
        <v>5</v>
      </c>
      <c r="BM96" t="n">
        <v>0</v>
      </c>
      <c r="BN96" t="n">
        <v>0</v>
      </c>
      <c r="BO96" t="n">
        <v>0</v>
      </c>
      <c r="BP96" t="n">
        <v>0</v>
      </c>
      <c r="BQ96" t="n">
        <v>172</v>
      </c>
      <c r="BR96" t="n">
        <v>725</v>
      </c>
      <c r="BS96" t="n">
        <v>36870</v>
      </c>
    </row>
    <row r="97">
      <c r="A97" t="n">
        <v>2023</v>
      </c>
      <c r="B97" t="inlineStr">
        <is>
          <t>Antilles</t>
        </is>
      </c>
      <c r="C97" t="inlineStr">
        <is>
          <t>Martinique</t>
        </is>
      </c>
      <c r="D97" t="inlineStr">
        <is>
          <t>972</t>
        </is>
      </c>
      <c r="E97" t="inlineStr">
        <is>
          <t>Martinique</t>
        </is>
      </c>
      <c r="F97" t="inlineStr">
        <is>
          <t>C</t>
        </is>
      </c>
      <c r="G97" t="n">
        <v>152</v>
      </c>
      <c r="H97" t="n">
        <v>0</v>
      </c>
      <c r="I97" t="n">
        <v>7</v>
      </c>
      <c r="J97" t="n">
        <v>9</v>
      </c>
      <c r="K97" t="n">
        <v>14</v>
      </c>
      <c r="L97" t="n">
        <v>0</v>
      </c>
      <c r="M97" t="n">
        <v>2</v>
      </c>
      <c r="N97" t="n">
        <v>110</v>
      </c>
      <c r="O97" t="n">
        <v>294</v>
      </c>
      <c r="P97" t="n">
        <v>383</v>
      </c>
      <c r="Q97" t="n">
        <v>293</v>
      </c>
      <c r="R97" t="n">
        <v>1264</v>
      </c>
      <c r="S97" t="n">
        <v>382</v>
      </c>
      <c r="T97" t="n">
        <v>2267</v>
      </c>
      <c r="U97" t="n">
        <v>256</v>
      </c>
      <c r="V97" t="n">
        <v>10827</v>
      </c>
      <c r="W97" t="n">
        <v>27</v>
      </c>
      <c r="X97" t="n">
        <v>446</v>
      </c>
      <c r="Y97" t="n">
        <v>5268</v>
      </c>
      <c r="Z97" t="n">
        <v>465</v>
      </c>
      <c r="AA97" t="n">
        <v>78</v>
      </c>
      <c r="AB97" t="n">
        <v>4305</v>
      </c>
      <c r="AC97" t="n">
        <v>126</v>
      </c>
      <c r="AD97" t="n">
        <v>20</v>
      </c>
      <c r="AE97" t="n">
        <v>104</v>
      </c>
      <c r="AF97" t="n">
        <v>245</v>
      </c>
      <c r="AG97" t="n">
        <v>3</v>
      </c>
      <c r="AH97" t="n">
        <v>1097</v>
      </c>
      <c r="AI97" t="n">
        <v>25913</v>
      </c>
      <c r="AJ97" t="n">
        <v>471</v>
      </c>
      <c r="AK97" t="n">
        <v>28</v>
      </c>
      <c r="AL97" t="n">
        <v>499</v>
      </c>
      <c r="AM97" t="n">
        <v>26412</v>
      </c>
      <c r="AN97" t="n">
        <v>2274</v>
      </c>
      <c r="AO97" t="n">
        <v>0</v>
      </c>
      <c r="AP97" t="n">
        <v>1</v>
      </c>
      <c r="AQ97" t="n">
        <v>18</v>
      </c>
      <c r="AR97" t="n">
        <v>0</v>
      </c>
      <c r="AS97" t="n">
        <v>2293</v>
      </c>
      <c r="AT97" t="n">
        <v>27</v>
      </c>
      <c r="AU97" t="n">
        <v>7</v>
      </c>
      <c r="AV97" t="n">
        <v>71</v>
      </c>
      <c r="AW97" t="n">
        <v>4</v>
      </c>
      <c r="AX97" t="n">
        <v>35</v>
      </c>
      <c r="AY97" t="n">
        <v>144</v>
      </c>
      <c r="AZ97" t="n">
        <v>36</v>
      </c>
      <c r="BA97" t="n">
        <v>17</v>
      </c>
      <c r="BB97" t="n">
        <v>0</v>
      </c>
      <c r="BC97" t="n">
        <v>0</v>
      </c>
      <c r="BD97" t="n">
        <v>0</v>
      </c>
      <c r="BE97" t="n">
        <v>53</v>
      </c>
      <c r="BF97" t="n">
        <v>2</v>
      </c>
      <c r="BG97" t="n">
        <v>2</v>
      </c>
      <c r="BH97" t="n">
        <v>68</v>
      </c>
      <c r="BI97" t="n">
        <v>18</v>
      </c>
      <c r="BJ97" t="n">
        <v>111</v>
      </c>
      <c r="BK97" t="n">
        <v>0</v>
      </c>
      <c r="BL97" t="n">
        <v>11</v>
      </c>
      <c r="BM97" t="n">
        <v>0</v>
      </c>
      <c r="BN97" t="n">
        <v>0</v>
      </c>
      <c r="BO97" t="n">
        <v>2</v>
      </c>
      <c r="BP97" t="n">
        <v>863</v>
      </c>
      <c r="BQ97" t="n">
        <v>1075</v>
      </c>
      <c r="BR97" t="n">
        <v>1128</v>
      </c>
      <c r="BS97" t="n">
        <v>31241</v>
      </c>
    </row>
    <row r="98">
      <c r="A98" t="n">
        <v>2023</v>
      </c>
      <c r="B98" t="inlineStr">
        <is>
          <t>Guyane</t>
        </is>
      </c>
      <c r="C98" t="inlineStr">
        <is>
          <t>Guyane</t>
        </is>
      </c>
      <c r="D98" t="inlineStr">
        <is>
          <t>973</t>
        </is>
      </c>
      <c r="E98" t="inlineStr">
        <is>
          <t>Guyane</t>
        </is>
      </c>
      <c r="F98" t="inlineStr">
        <is>
          <t>C</t>
        </is>
      </c>
      <c r="G98" t="n">
        <v>189</v>
      </c>
      <c r="H98" t="n">
        <v>0</v>
      </c>
      <c r="I98" t="n">
        <v>0</v>
      </c>
      <c r="J98" t="n">
        <v>25</v>
      </c>
      <c r="K98" t="n">
        <v>113</v>
      </c>
      <c r="L98" t="n">
        <v>1</v>
      </c>
      <c r="M98" t="n">
        <v>0</v>
      </c>
      <c r="N98" t="n">
        <v>197</v>
      </c>
      <c r="O98" t="n">
        <v>205</v>
      </c>
      <c r="P98" t="n">
        <v>1696</v>
      </c>
      <c r="Q98" t="n">
        <v>84</v>
      </c>
      <c r="R98" t="n">
        <v>2510</v>
      </c>
      <c r="S98" t="n">
        <v>215</v>
      </c>
      <c r="T98" t="n">
        <v>1003</v>
      </c>
      <c r="U98" t="n">
        <v>352</v>
      </c>
      <c r="V98" t="n">
        <v>4190</v>
      </c>
      <c r="W98" t="n">
        <v>0</v>
      </c>
      <c r="X98" t="n">
        <v>206</v>
      </c>
      <c r="Y98" t="n">
        <v>4604</v>
      </c>
      <c r="Z98" t="n">
        <v>387</v>
      </c>
      <c r="AA98" t="n">
        <v>0</v>
      </c>
      <c r="AB98" t="n">
        <v>8</v>
      </c>
      <c r="AC98" t="n">
        <v>322</v>
      </c>
      <c r="AD98" t="n">
        <v>32</v>
      </c>
      <c r="AE98" t="n">
        <v>1</v>
      </c>
      <c r="AF98" t="n">
        <v>7</v>
      </c>
      <c r="AG98" t="n">
        <v>0</v>
      </c>
      <c r="AH98" t="n">
        <v>1777</v>
      </c>
      <c r="AI98" t="n">
        <v>13104</v>
      </c>
      <c r="AJ98" t="n">
        <v>325</v>
      </c>
      <c r="AK98" t="n">
        <v>28</v>
      </c>
      <c r="AL98" t="n">
        <v>353</v>
      </c>
      <c r="AM98" t="n">
        <v>13457</v>
      </c>
      <c r="AN98" t="n">
        <v>2027</v>
      </c>
      <c r="AO98" t="n">
        <v>0</v>
      </c>
      <c r="AP98" t="n">
        <v>0</v>
      </c>
      <c r="AQ98" t="n">
        <v>13</v>
      </c>
      <c r="AR98" t="n">
        <v>0</v>
      </c>
      <c r="AS98" t="n">
        <v>2040</v>
      </c>
      <c r="AT98" t="n">
        <v>5</v>
      </c>
      <c r="AU98" t="n">
        <v>0</v>
      </c>
      <c r="AV98" t="n">
        <v>0</v>
      </c>
      <c r="AW98" t="n">
        <v>2</v>
      </c>
      <c r="AX98" t="n">
        <v>0</v>
      </c>
      <c r="AY98" t="n">
        <v>7</v>
      </c>
      <c r="AZ98" t="n">
        <v>4</v>
      </c>
      <c r="BA98" t="n">
        <v>20</v>
      </c>
      <c r="BB98" t="n">
        <v>64</v>
      </c>
      <c r="BC98" t="n">
        <v>0</v>
      </c>
      <c r="BD98" t="n">
        <v>0</v>
      </c>
      <c r="BE98" t="n">
        <v>88</v>
      </c>
      <c r="BF98" t="n">
        <v>877</v>
      </c>
      <c r="BG98" t="n">
        <v>0</v>
      </c>
      <c r="BH98" t="n">
        <v>346</v>
      </c>
      <c r="BI98" t="n">
        <v>397</v>
      </c>
      <c r="BJ98" t="n">
        <v>1</v>
      </c>
      <c r="BK98" t="n">
        <v>0</v>
      </c>
      <c r="BL98" t="n">
        <v>2</v>
      </c>
      <c r="BM98" t="n">
        <v>4</v>
      </c>
      <c r="BN98" t="n">
        <v>18</v>
      </c>
      <c r="BO98" t="n">
        <v>0</v>
      </c>
      <c r="BP98" t="n">
        <v>748</v>
      </c>
      <c r="BQ98" t="n">
        <v>2393</v>
      </c>
      <c r="BR98" t="n">
        <v>2481</v>
      </c>
      <c r="BS98" t="n">
        <v>20495</v>
      </c>
    </row>
    <row r="99">
      <c r="A99" t="n">
        <v>2023</v>
      </c>
      <c r="B99" t="inlineStr">
        <is>
          <t>Oc�an indien</t>
        </is>
      </c>
      <c r="C99" t="inlineStr">
        <is>
          <t>La R�union</t>
        </is>
      </c>
      <c r="D99" t="inlineStr">
        <is>
          <t>974</t>
        </is>
      </c>
      <c r="E99" t="inlineStr">
        <is>
          <t>R�union</t>
        </is>
      </c>
      <c r="F99" t="inlineStr">
        <is>
          <t>B</t>
        </is>
      </c>
      <c r="G99" t="n">
        <v>373</v>
      </c>
      <c r="H99" t="n">
        <v>0</v>
      </c>
      <c r="I99" t="n">
        <v>24</v>
      </c>
      <c r="J99" t="n">
        <v>71</v>
      </c>
      <c r="K99" t="n">
        <v>28</v>
      </c>
      <c r="L99" t="n">
        <v>0</v>
      </c>
      <c r="M99" t="n">
        <v>7</v>
      </c>
      <c r="N99" t="n">
        <v>1147</v>
      </c>
      <c r="O99" t="n">
        <v>596</v>
      </c>
      <c r="P99" t="n">
        <v>1068</v>
      </c>
      <c r="Q99" t="n">
        <v>194</v>
      </c>
      <c r="R99" t="n">
        <v>3508</v>
      </c>
      <c r="S99" t="n">
        <v>325</v>
      </c>
      <c r="T99" t="n">
        <v>1985</v>
      </c>
      <c r="U99" t="n">
        <v>595</v>
      </c>
      <c r="V99" t="n">
        <v>2492</v>
      </c>
      <c r="W99" t="n">
        <v>7</v>
      </c>
      <c r="X99" t="n">
        <v>695</v>
      </c>
      <c r="Y99" t="n">
        <v>11596</v>
      </c>
      <c r="Z99" t="n">
        <v>2249</v>
      </c>
      <c r="AA99" t="n">
        <v>129</v>
      </c>
      <c r="AB99" t="n">
        <v>10578</v>
      </c>
      <c r="AC99" t="n">
        <v>1230</v>
      </c>
      <c r="AD99" t="n">
        <v>52</v>
      </c>
      <c r="AE99" t="n">
        <v>67</v>
      </c>
      <c r="AF99" t="n">
        <v>9</v>
      </c>
      <c r="AG99" t="n">
        <v>7</v>
      </c>
      <c r="AH99" t="n">
        <v>11547</v>
      </c>
      <c r="AI99" t="n">
        <v>43556</v>
      </c>
      <c r="AJ99" t="n">
        <v>333</v>
      </c>
      <c r="AK99" t="n">
        <v>7</v>
      </c>
      <c r="AL99" t="n">
        <v>340</v>
      </c>
      <c r="AM99" t="n">
        <v>43896</v>
      </c>
      <c r="AN99" t="n">
        <v>7602</v>
      </c>
      <c r="AO99" t="n">
        <v>0</v>
      </c>
      <c r="AP99" t="n">
        <v>2</v>
      </c>
      <c r="AQ99" t="n">
        <v>0</v>
      </c>
      <c r="AR99" t="n">
        <v>0</v>
      </c>
      <c r="AS99" t="n">
        <v>7604</v>
      </c>
      <c r="AT99" t="n">
        <v>28</v>
      </c>
      <c r="AU99" t="n">
        <v>0</v>
      </c>
      <c r="AV99" t="n">
        <v>0</v>
      </c>
      <c r="AW99" t="n">
        <v>3</v>
      </c>
      <c r="AX99" t="n">
        <v>0</v>
      </c>
      <c r="AY99" t="n">
        <v>31</v>
      </c>
      <c r="AZ99" t="n">
        <v>0</v>
      </c>
      <c r="BA99" t="n">
        <v>198</v>
      </c>
      <c r="BB99" t="n">
        <v>111</v>
      </c>
      <c r="BC99" t="n">
        <v>0</v>
      </c>
      <c r="BD99" t="n">
        <v>0</v>
      </c>
      <c r="BE99" t="n">
        <v>309</v>
      </c>
      <c r="BF99" t="n">
        <v>0</v>
      </c>
      <c r="BG99" t="n">
        <v>0</v>
      </c>
      <c r="BH99" t="n">
        <v>952</v>
      </c>
      <c r="BI99" t="n">
        <v>14</v>
      </c>
      <c r="BJ99" t="n">
        <v>194</v>
      </c>
      <c r="BK99" t="n">
        <v>0</v>
      </c>
      <c r="BL99" t="n">
        <v>8</v>
      </c>
      <c r="BM99" t="n">
        <v>0</v>
      </c>
      <c r="BN99" t="n">
        <v>0</v>
      </c>
      <c r="BO99" t="n">
        <v>11</v>
      </c>
      <c r="BP99" t="n">
        <v>0</v>
      </c>
      <c r="BQ99" t="n">
        <v>1179</v>
      </c>
      <c r="BR99" t="n">
        <v>1488</v>
      </c>
      <c r="BS99" t="n">
        <v>56527</v>
      </c>
    </row>
    <row r="100">
      <c r="A100" t="n">
        <v>2023</v>
      </c>
      <c r="B100" t="inlineStr">
        <is>
          <t>Oc�an indien</t>
        </is>
      </c>
      <c r="C100" t="inlineStr">
        <is>
          <t>Mayotte</t>
        </is>
      </c>
      <c r="D100" t="inlineStr">
        <is>
          <t>976</t>
        </is>
      </c>
      <c r="E100" t="inlineStr">
        <is>
          <t>Mayotte</t>
        </is>
      </c>
      <c r="F100" t="inlineStr">
        <is>
          <t>C</t>
        </is>
      </c>
      <c r="G100" t="n">
        <v>131</v>
      </c>
      <c r="H100" t="n">
        <v>0</v>
      </c>
      <c r="I100" t="n">
        <v>0</v>
      </c>
      <c r="J100" t="n">
        <v>8</v>
      </c>
      <c r="K100" t="n">
        <v>5</v>
      </c>
      <c r="L100" t="n">
        <v>9</v>
      </c>
      <c r="M100" t="n">
        <v>1</v>
      </c>
      <c r="N100" t="n">
        <v>274</v>
      </c>
      <c r="O100" t="n">
        <v>190</v>
      </c>
      <c r="P100" t="n">
        <v>263</v>
      </c>
      <c r="Q100" t="n">
        <v>113</v>
      </c>
      <c r="R100" t="n">
        <v>994</v>
      </c>
      <c r="S100" t="n">
        <v>129</v>
      </c>
      <c r="T100" t="n">
        <v>716</v>
      </c>
      <c r="U100" t="n">
        <v>196</v>
      </c>
      <c r="V100" t="n">
        <v>1089</v>
      </c>
      <c r="W100" t="n">
        <v>0</v>
      </c>
      <c r="X100" t="n">
        <v>330</v>
      </c>
      <c r="Y100" t="n">
        <v>1570</v>
      </c>
      <c r="Z100" t="n">
        <v>1530</v>
      </c>
      <c r="AA100" t="n">
        <v>22</v>
      </c>
      <c r="AB100" t="n">
        <v>1823</v>
      </c>
      <c r="AC100" t="n">
        <v>109</v>
      </c>
      <c r="AD100" t="n">
        <v>18</v>
      </c>
      <c r="AE100" t="n">
        <v>17</v>
      </c>
      <c r="AF100" t="n">
        <v>46</v>
      </c>
      <c r="AG100" t="n">
        <v>5</v>
      </c>
      <c r="AH100" t="n">
        <v>6219</v>
      </c>
      <c r="AI100" t="n">
        <v>13814</v>
      </c>
      <c r="AJ100" t="n">
        <v>3</v>
      </c>
      <c r="AK100" t="n">
        <v>4</v>
      </c>
      <c r="AL100" t="n">
        <v>7</v>
      </c>
      <c r="AM100" t="n">
        <v>13821</v>
      </c>
      <c r="AN100" t="n">
        <v>1318</v>
      </c>
      <c r="AO100" t="n">
        <v>0</v>
      </c>
      <c r="AP100" t="n">
        <v>0</v>
      </c>
      <c r="AQ100" t="n">
        <v>0</v>
      </c>
      <c r="AR100" t="n">
        <v>0</v>
      </c>
      <c r="AS100" t="n">
        <v>1318</v>
      </c>
      <c r="AT100" t="n">
        <v>4</v>
      </c>
      <c r="AU100" t="n">
        <v>0</v>
      </c>
      <c r="AV100" t="n">
        <v>73</v>
      </c>
      <c r="AW100" t="n">
        <v>4</v>
      </c>
      <c r="AX100" t="n">
        <v>0</v>
      </c>
      <c r="AY100" t="n">
        <v>81</v>
      </c>
      <c r="AZ100" t="n">
        <v>7</v>
      </c>
      <c r="BA100" t="n">
        <v>0</v>
      </c>
      <c r="BB100" t="n">
        <v>38</v>
      </c>
      <c r="BC100" t="n">
        <v>0</v>
      </c>
      <c r="BD100" t="n">
        <v>0</v>
      </c>
      <c r="BE100" t="n">
        <v>45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45</v>
      </c>
      <c r="BS100" t="n">
        <v>16259</v>
      </c>
    </row>
  </sheetData>
  <autoFilter ref="A1:BS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zones</t>
        </is>
      </c>
      <c r="B1" s="1" t="inlineStr">
        <is>
          <t>regions</t>
        </is>
      </c>
    </row>
    <row r="2">
      <c r="A2" t="inlineStr">
        <is>
          <t>Toutes</t>
        </is>
      </c>
      <c r="B2" t="inlineStr">
        <is>
          <t>Toutes</t>
        </is>
      </c>
    </row>
    <row r="3">
      <c r="A3" t="inlineStr">
        <is>
          <t>Antilles</t>
        </is>
      </c>
      <c r="B3" t="inlineStr">
        <is>
          <t>Auvergne-Rh�ne-Alpes</t>
        </is>
      </c>
    </row>
    <row r="4">
      <c r="A4" t="inlineStr">
        <is>
          <t>Est</t>
        </is>
      </c>
      <c r="B4" t="inlineStr">
        <is>
          <t>Bourgogne-Franche-Comt�</t>
        </is>
      </c>
    </row>
    <row r="5">
      <c r="A5" t="inlineStr">
        <is>
          <t>Guyane</t>
        </is>
      </c>
      <c r="B5" t="inlineStr">
        <is>
          <t>Bretagne</t>
        </is>
      </c>
    </row>
    <row r="6">
      <c r="A6" t="inlineStr">
        <is>
          <t>Nord</t>
        </is>
      </c>
      <c r="B6" t="inlineStr">
        <is>
          <t>Centre-Val de Loire</t>
        </is>
      </c>
    </row>
    <row r="7">
      <c r="A7" t="inlineStr">
        <is>
          <t>Oc�an indien</t>
        </is>
      </c>
      <c r="B7" t="inlineStr">
        <is>
          <t>Corse</t>
        </is>
      </c>
    </row>
    <row r="8">
      <c r="A8" t="inlineStr">
        <is>
          <t>Ouest</t>
        </is>
      </c>
      <c r="B8" t="inlineStr">
        <is>
          <t>Grand Est</t>
        </is>
      </c>
    </row>
    <row r="9">
      <c r="A9" t="inlineStr">
        <is>
          <t>Sud</t>
        </is>
      </c>
      <c r="B9" t="inlineStr">
        <is>
          <t>Guadeloupe</t>
        </is>
      </c>
    </row>
    <row r="10">
      <c r="A10" t="inlineStr">
        <is>
          <t>Sud-est</t>
        </is>
      </c>
      <c r="B10" t="inlineStr">
        <is>
          <t>Guyane</t>
        </is>
      </c>
    </row>
    <row r="11">
      <c r="A11" t="inlineStr">
        <is>
          <t>Sud-ouest</t>
        </is>
      </c>
      <c r="B11" t="inlineStr">
        <is>
          <t>Hauts-de-France</t>
        </is>
      </c>
    </row>
    <row r="12">
      <c r="A12" t="inlineStr">
        <is>
          <t>�le-de-France</t>
        </is>
      </c>
      <c r="B12" t="inlineStr">
        <is>
          <t>La R�union</t>
        </is>
      </c>
    </row>
    <row r="13">
      <c r="B13" t="inlineStr">
        <is>
          <t>Martinique</t>
        </is>
      </c>
    </row>
    <row r="14">
      <c r="B14" t="inlineStr">
        <is>
          <t>Mayotte</t>
        </is>
      </c>
    </row>
    <row r="15">
      <c r="B15" t="inlineStr">
        <is>
          <t>Normandie</t>
        </is>
      </c>
    </row>
    <row r="16">
      <c r="B16" t="inlineStr">
        <is>
          <t>Nouvelle-Aquitaine</t>
        </is>
      </c>
    </row>
    <row r="17">
      <c r="B17" t="inlineStr">
        <is>
          <t>Occitanie</t>
        </is>
      </c>
    </row>
    <row r="18">
      <c r="B18" t="inlineStr">
        <is>
          <t>Pays de la Loire</t>
        </is>
      </c>
    </row>
    <row r="19">
      <c r="B19" t="inlineStr">
        <is>
          <t>Provence-Alpes-C�te d'Azur</t>
        </is>
      </c>
    </row>
    <row r="20">
      <c r="B20" t="inlineStr">
        <is>
          <t>�le-de-France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departement</t>
        </is>
      </c>
      <c r="B1" t="inlineStr">
        <is>
          <t>interventions_filtrees</t>
        </is>
      </c>
    </row>
    <row r="2">
      <c r="A2" t="inlineStr">
        <is>
          <t>Ain</t>
        </is>
      </c>
      <c r="B2">
        <f>SUMIFS(donnees_nettoyees!$BS$2:$BS$200,donnees_nettoyees!$E$2:$E$200,A2,donnees_nettoyees!$B$2:$B$200,tableau_de_bord!$C$6,donnees_nettoyees!$C$2:$C$200,tableau_de_bord!$F$6)</f>
        <v/>
      </c>
      <c r="C2">
        <f>SUMIFS(donnees_nettoyees!$BS$2:$BS$200,donnees_nettoyees!$E$2:$E$200,A2,donnees_nettoyees!$B$2:$B$200,IF(tableau_de_bord!$C$6="Toutes","*",tableau_de_bord!$C$6),donnees_nettoyees!$C$2:$C$200,IF(tableau_de_bord!$F$6="Toutes","*",tableau_de_bord!$F$6))</f>
        <v/>
      </c>
    </row>
    <row r="3">
      <c r="A3" t="inlineStr">
        <is>
          <t>Aisne</t>
        </is>
      </c>
      <c r="B3">
        <f>SUMIFS(donnees_nettoyees!$BS$2:$BS$200,donnees_nettoyees!$E$2:$E$200,A3,donnees_nettoyees!$B$2:$B$200,tableau_de_bord!$C$6,donnees_nettoyees!$C$2:$C$200,tableau_de_bord!$F$6)</f>
        <v/>
      </c>
      <c r="C3">
        <f>SUMIFS(donnees_nettoyees!$BS$2:$BS$200,donnees_nettoyees!$E$2:$E$200,A3,donnees_nettoyees!$B$2:$B$200,IF(tableau_de_bord!$C$6="Toutes","*",tableau_de_bord!$C$6),donnees_nettoyees!$C$2:$C$200,IF(tableau_de_bord!$F$6="Toutes","*",tableau_de_bord!$F$6))</f>
        <v/>
      </c>
    </row>
    <row r="4">
      <c r="A4" t="inlineStr">
        <is>
          <t>Allier</t>
        </is>
      </c>
      <c r="B4">
        <f>SUMIFS(donnees_nettoyees!$BS$2:$BS$200,donnees_nettoyees!$E$2:$E$200,A4,donnees_nettoyees!$B$2:$B$200,tableau_de_bord!$C$6,donnees_nettoyees!$C$2:$C$200,tableau_de_bord!$F$6)</f>
        <v/>
      </c>
      <c r="C4">
        <f>SUMIFS(donnees_nettoyees!$BS$2:$BS$200,donnees_nettoyees!$E$2:$E$200,A4,donnees_nettoyees!$B$2:$B$200,IF(tableau_de_bord!$C$6="Toutes","*",tableau_de_bord!$C$6),donnees_nettoyees!$C$2:$C$200,IF(tableau_de_bord!$F$6="Toutes","*",tableau_de_bord!$F$6))</f>
        <v/>
      </c>
    </row>
    <row r="5">
      <c r="A5" t="inlineStr">
        <is>
          <t>Alpes-Maritimes</t>
        </is>
      </c>
      <c r="B5">
        <f>SUMIFS(donnees_nettoyees!$BS$2:$BS$200,donnees_nettoyees!$E$2:$E$200,A5,donnees_nettoyees!$B$2:$B$200,tableau_de_bord!$C$6,donnees_nettoyees!$C$2:$C$200,tableau_de_bord!$F$6)</f>
        <v/>
      </c>
      <c r="C5">
        <f>SUMIFS(donnees_nettoyees!$BS$2:$BS$200,donnees_nettoyees!$E$2:$E$200,A5,donnees_nettoyees!$B$2:$B$200,IF(tableau_de_bord!$C$6="Toutes","*",tableau_de_bord!$C$6),donnees_nettoyees!$C$2:$C$200,IF(tableau_de_bord!$F$6="Toutes","*",tableau_de_bord!$F$6))</f>
        <v/>
      </c>
    </row>
    <row r="6">
      <c r="A6" t="inlineStr">
        <is>
          <t>Alpes-de-Haute-Provence</t>
        </is>
      </c>
      <c r="B6">
        <f>SUMIFS(donnees_nettoyees!$BS$2:$BS$200,donnees_nettoyees!$E$2:$E$200,A6,donnees_nettoyees!$B$2:$B$200,tableau_de_bord!$C$6,donnees_nettoyees!$C$2:$C$200,tableau_de_bord!$F$6)</f>
        <v/>
      </c>
      <c r="C6">
        <f>SUMIFS(donnees_nettoyees!$BS$2:$BS$200,donnees_nettoyees!$E$2:$E$200,A6,donnees_nettoyees!$B$2:$B$200,IF(tableau_de_bord!$C$6="Toutes","*",tableau_de_bord!$C$6),donnees_nettoyees!$C$2:$C$200,IF(tableau_de_bord!$F$6="Toutes","*",tableau_de_bord!$F$6))</f>
        <v/>
      </c>
    </row>
    <row r="7">
      <c r="A7" t="inlineStr">
        <is>
          <t>Ardennes</t>
        </is>
      </c>
      <c r="B7">
        <f>SUMIFS(donnees_nettoyees!$BS$2:$BS$200,donnees_nettoyees!$E$2:$E$200,A7,donnees_nettoyees!$B$2:$B$200,tableau_de_bord!$C$6,donnees_nettoyees!$C$2:$C$200,tableau_de_bord!$F$6)</f>
        <v/>
      </c>
      <c r="C7">
        <f>SUMIFS(donnees_nettoyees!$BS$2:$BS$200,donnees_nettoyees!$E$2:$E$200,A7,donnees_nettoyees!$B$2:$B$200,IF(tableau_de_bord!$C$6="Toutes","*",tableau_de_bord!$C$6),donnees_nettoyees!$C$2:$C$200,IF(tableau_de_bord!$F$6="Toutes","*",tableau_de_bord!$F$6))</f>
        <v/>
      </c>
    </row>
    <row r="8">
      <c r="A8" t="inlineStr">
        <is>
          <t>Ard�che</t>
        </is>
      </c>
      <c r="B8">
        <f>SUMIFS(donnees_nettoyees!$BS$2:$BS$200,donnees_nettoyees!$E$2:$E$200,A8,donnees_nettoyees!$B$2:$B$200,tableau_de_bord!$C$6,donnees_nettoyees!$C$2:$C$200,tableau_de_bord!$F$6)</f>
        <v/>
      </c>
      <c r="C8">
        <f>SUMIFS(donnees_nettoyees!$BS$2:$BS$200,donnees_nettoyees!$E$2:$E$200,A8,donnees_nettoyees!$B$2:$B$200,IF(tableau_de_bord!$C$6="Toutes","*",tableau_de_bord!$C$6),donnees_nettoyees!$C$2:$C$200,IF(tableau_de_bord!$F$6="Toutes","*",tableau_de_bord!$F$6))</f>
        <v/>
      </c>
    </row>
    <row r="9">
      <c r="A9" t="inlineStr">
        <is>
          <t>Ari�ge</t>
        </is>
      </c>
      <c r="B9">
        <f>SUMIFS(donnees_nettoyees!$BS$2:$BS$200,donnees_nettoyees!$E$2:$E$200,A9,donnees_nettoyees!$B$2:$B$200,tableau_de_bord!$C$6,donnees_nettoyees!$C$2:$C$200,tableau_de_bord!$F$6)</f>
        <v/>
      </c>
      <c r="C9">
        <f>SUMIFS(donnees_nettoyees!$BS$2:$BS$200,donnees_nettoyees!$E$2:$E$200,A9,donnees_nettoyees!$B$2:$B$200,IF(tableau_de_bord!$C$6="Toutes","*",tableau_de_bord!$C$6),donnees_nettoyees!$C$2:$C$200,IF(tableau_de_bord!$F$6="Toutes","*",tableau_de_bord!$F$6))</f>
        <v/>
      </c>
    </row>
    <row r="10">
      <c r="A10" t="inlineStr">
        <is>
          <t>Aube</t>
        </is>
      </c>
      <c r="B10">
        <f>SUMIFS(donnees_nettoyees!$BS$2:$BS$200,donnees_nettoyees!$E$2:$E$200,A10,donnees_nettoyees!$B$2:$B$200,tableau_de_bord!$C$6,donnees_nettoyees!$C$2:$C$200,tableau_de_bord!$F$6)</f>
        <v/>
      </c>
      <c r="C10">
        <f>SUMIFS(donnees_nettoyees!$BS$2:$BS$200,donnees_nettoyees!$E$2:$E$200,A10,donnees_nettoyees!$B$2:$B$200,IF(tableau_de_bord!$C$6="Toutes","*",tableau_de_bord!$C$6),donnees_nettoyees!$C$2:$C$200,IF(tableau_de_bord!$F$6="Toutes","*",tableau_de_bord!$F$6))</f>
        <v/>
      </c>
    </row>
    <row r="11">
      <c r="A11" t="inlineStr">
        <is>
          <t>Aude</t>
        </is>
      </c>
      <c r="B11">
        <f>SUMIFS(donnees_nettoyees!$BS$2:$BS$200,donnees_nettoyees!$E$2:$E$200,A11,donnees_nettoyees!$B$2:$B$200,tableau_de_bord!$C$6,donnees_nettoyees!$C$2:$C$200,tableau_de_bord!$F$6)</f>
        <v/>
      </c>
      <c r="C11">
        <f>SUMIFS(donnees_nettoyees!$BS$2:$BS$200,donnees_nettoyees!$E$2:$E$200,A11,donnees_nettoyees!$B$2:$B$200,IF(tableau_de_bord!$C$6="Toutes","*",tableau_de_bord!$C$6),donnees_nettoyees!$C$2:$C$200,IF(tableau_de_bord!$F$6="Toutes","*",tableau_de_bord!$F$6))</f>
        <v/>
      </c>
    </row>
    <row r="12">
      <c r="A12" t="inlineStr">
        <is>
          <t>Aveyron</t>
        </is>
      </c>
      <c r="B12">
        <f>SUMIFS(donnees_nettoyees!$BS$2:$BS$200,donnees_nettoyees!$E$2:$E$200,A12,donnees_nettoyees!$B$2:$B$200,tableau_de_bord!$C$6,donnees_nettoyees!$C$2:$C$200,tableau_de_bord!$F$6)</f>
        <v/>
      </c>
      <c r="C12">
        <f>SUMIFS(donnees_nettoyees!$BS$2:$BS$200,donnees_nettoyees!$E$2:$E$200,A12,donnees_nettoyees!$B$2:$B$200,IF(tableau_de_bord!$C$6="Toutes","*",tableau_de_bord!$C$6),donnees_nettoyees!$C$2:$C$200,IF(tableau_de_bord!$F$6="Toutes","*",tableau_de_bord!$F$6))</f>
        <v/>
      </c>
    </row>
    <row r="13">
      <c r="A13" t="inlineStr">
        <is>
          <t>Bas-Rhin</t>
        </is>
      </c>
      <c r="B13">
        <f>SUMIFS(donnees_nettoyees!$BS$2:$BS$200,donnees_nettoyees!$E$2:$E$200,A13,donnees_nettoyees!$B$2:$B$200,tableau_de_bord!$C$6,donnees_nettoyees!$C$2:$C$200,tableau_de_bord!$F$6)</f>
        <v/>
      </c>
      <c r="C13">
        <f>SUMIFS(donnees_nettoyees!$BS$2:$BS$200,donnees_nettoyees!$E$2:$E$200,A13,donnees_nettoyees!$B$2:$B$200,IF(tableau_de_bord!$C$6="Toutes","*",tableau_de_bord!$C$6),donnees_nettoyees!$C$2:$C$200,IF(tableau_de_bord!$F$6="Toutes","*",tableau_de_bord!$F$6))</f>
        <v/>
      </c>
    </row>
    <row r="14">
      <c r="A14" t="inlineStr">
        <is>
          <t>Bouches-du-Rh�ne</t>
        </is>
      </c>
      <c r="B14">
        <f>SUMIFS(donnees_nettoyees!$BS$2:$BS$200,donnees_nettoyees!$E$2:$E$200,A14,donnees_nettoyees!$B$2:$B$200,tableau_de_bord!$C$6,donnees_nettoyees!$C$2:$C$200,tableau_de_bord!$F$6)</f>
        <v/>
      </c>
      <c r="C14">
        <f>SUMIFS(donnees_nettoyees!$BS$2:$BS$200,donnees_nettoyees!$E$2:$E$200,A14,donnees_nettoyees!$B$2:$B$200,IF(tableau_de_bord!$C$6="Toutes","*",tableau_de_bord!$C$6),donnees_nettoyees!$C$2:$C$200,IF(tableau_de_bord!$F$6="Toutes","*",tableau_de_bord!$F$6))</f>
        <v/>
      </c>
    </row>
    <row r="15">
      <c r="A15" t="inlineStr">
        <is>
          <t>Calvados</t>
        </is>
      </c>
      <c r="B15">
        <f>SUMIFS(donnees_nettoyees!$BS$2:$BS$200,donnees_nettoyees!$E$2:$E$200,A15,donnees_nettoyees!$B$2:$B$200,tableau_de_bord!$C$6,donnees_nettoyees!$C$2:$C$200,tableau_de_bord!$F$6)</f>
        <v/>
      </c>
      <c r="C15">
        <f>SUMIFS(donnees_nettoyees!$BS$2:$BS$200,donnees_nettoyees!$E$2:$E$200,A15,donnees_nettoyees!$B$2:$B$200,IF(tableau_de_bord!$C$6="Toutes","*",tableau_de_bord!$C$6),donnees_nettoyees!$C$2:$C$200,IF(tableau_de_bord!$F$6="Toutes","*",tableau_de_bord!$F$6))</f>
        <v/>
      </c>
    </row>
    <row r="16">
      <c r="A16" t="inlineStr">
        <is>
          <t>Cantal</t>
        </is>
      </c>
      <c r="B16">
        <f>SUMIFS(donnees_nettoyees!$BS$2:$BS$200,donnees_nettoyees!$E$2:$E$200,A16,donnees_nettoyees!$B$2:$B$200,tableau_de_bord!$C$6,donnees_nettoyees!$C$2:$C$200,tableau_de_bord!$F$6)</f>
        <v/>
      </c>
      <c r="C16">
        <f>SUMIFS(donnees_nettoyees!$BS$2:$BS$200,donnees_nettoyees!$E$2:$E$200,A16,donnees_nettoyees!$B$2:$B$200,IF(tableau_de_bord!$C$6="Toutes","*",tableau_de_bord!$C$6),donnees_nettoyees!$C$2:$C$200,IF(tableau_de_bord!$F$6="Toutes","*",tableau_de_bord!$F$6))</f>
        <v/>
      </c>
    </row>
    <row r="17">
      <c r="A17" t="inlineStr">
        <is>
          <t>Charente</t>
        </is>
      </c>
      <c r="B17">
        <f>SUMIFS(donnees_nettoyees!$BS$2:$BS$200,donnees_nettoyees!$E$2:$E$200,A17,donnees_nettoyees!$B$2:$B$200,tableau_de_bord!$C$6,donnees_nettoyees!$C$2:$C$200,tableau_de_bord!$F$6)</f>
        <v/>
      </c>
      <c r="C17">
        <f>SUMIFS(donnees_nettoyees!$BS$2:$BS$200,donnees_nettoyees!$E$2:$E$200,A17,donnees_nettoyees!$B$2:$B$200,IF(tableau_de_bord!$C$6="Toutes","*",tableau_de_bord!$C$6),donnees_nettoyees!$C$2:$C$200,IF(tableau_de_bord!$F$6="Toutes","*",tableau_de_bord!$F$6))</f>
        <v/>
      </c>
    </row>
    <row r="18">
      <c r="A18" t="inlineStr">
        <is>
          <t>Charente-Maritime</t>
        </is>
      </c>
      <c r="B18">
        <f>SUMIFS(donnees_nettoyees!$BS$2:$BS$200,donnees_nettoyees!$E$2:$E$200,A18,donnees_nettoyees!$B$2:$B$200,tableau_de_bord!$C$6,donnees_nettoyees!$C$2:$C$200,tableau_de_bord!$F$6)</f>
        <v/>
      </c>
      <c r="C18">
        <f>SUMIFS(donnees_nettoyees!$BS$2:$BS$200,donnees_nettoyees!$E$2:$E$200,A18,donnees_nettoyees!$B$2:$B$200,IF(tableau_de_bord!$C$6="Toutes","*",tableau_de_bord!$C$6),donnees_nettoyees!$C$2:$C$200,IF(tableau_de_bord!$F$6="Toutes","*",tableau_de_bord!$F$6))</f>
        <v/>
      </c>
    </row>
    <row r="19">
      <c r="A19" t="inlineStr">
        <is>
          <t>Cher</t>
        </is>
      </c>
      <c r="B19">
        <f>SUMIFS(donnees_nettoyees!$BS$2:$BS$200,donnees_nettoyees!$E$2:$E$200,A19,donnees_nettoyees!$B$2:$B$200,tableau_de_bord!$C$6,donnees_nettoyees!$C$2:$C$200,tableau_de_bord!$F$6)</f>
        <v/>
      </c>
      <c r="C19">
        <f>SUMIFS(donnees_nettoyees!$BS$2:$BS$200,donnees_nettoyees!$E$2:$E$200,A19,donnees_nettoyees!$B$2:$B$200,IF(tableau_de_bord!$C$6="Toutes","*",tableau_de_bord!$C$6),donnees_nettoyees!$C$2:$C$200,IF(tableau_de_bord!$F$6="Toutes","*",tableau_de_bord!$F$6))</f>
        <v/>
      </c>
    </row>
    <row r="20">
      <c r="A20" t="inlineStr">
        <is>
          <t>Corr�ze</t>
        </is>
      </c>
      <c r="B20">
        <f>SUMIFS(donnees_nettoyees!$BS$2:$BS$200,donnees_nettoyees!$E$2:$E$200,A20,donnees_nettoyees!$B$2:$B$200,tableau_de_bord!$C$6,donnees_nettoyees!$C$2:$C$200,tableau_de_bord!$F$6)</f>
        <v/>
      </c>
      <c r="C20">
        <f>SUMIFS(donnees_nettoyees!$BS$2:$BS$200,donnees_nettoyees!$E$2:$E$200,A20,donnees_nettoyees!$B$2:$B$200,IF(tableau_de_bord!$C$6="Toutes","*",tableau_de_bord!$C$6),donnees_nettoyees!$C$2:$C$200,IF(tableau_de_bord!$F$6="Toutes","*",tableau_de_bord!$F$6))</f>
        <v/>
      </c>
    </row>
    <row r="21">
      <c r="A21" t="inlineStr">
        <is>
          <t>Corse-du-Sud</t>
        </is>
      </c>
      <c r="B21">
        <f>SUMIFS(donnees_nettoyees!$BS$2:$BS$200,donnees_nettoyees!$E$2:$E$200,A21,donnees_nettoyees!$B$2:$B$200,tableau_de_bord!$C$6,donnees_nettoyees!$C$2:$C$200,tableau_de_bord!$F$6)</f>
        <v/>
      </c>
      <c r="C21">
        <f>SUMIFS(donnees_nettoyees!$BS$2:$BS$200,donnees_nettoyees!$E$2:$E$200,A21,donnees_nettoyees!$B$2:$B$200,IF(tableau_de_bord!$C$6="Toutes","*",tableau_de_bord!$C$6),donnees_nettoyees!$C$2:$C$200,IF(tableau_de_bord!$F$6="Toutes","*",tableau_de_bord!$F$6))</f>
        <v/>
      </c>
    </row>
    <row r="22">
      <c r="A22" t="inlineStr">
        <is>
          <t>Creuse</t>
        </is>
      </c>
      <c r="B22">
        <f>SUMIFS(donnees_nettoyees!$BS$2:$BS$200,donnees_nettoyees!$E$2:$E$200,A22,donnees_nettoyees!$B$2:$B$200,tableau_de_bord!$C$6,donnees_nettoyees!$C$2:$C$200,tableau_de_bord!$F$6)</f>
        <v/>
      </c>
      <c r="C22">
        <f>SUMIFS(donnees_nettoyees!$BS$2:$BS$200,donnees_nettoyees!$E$2:$E$200,A22,donnees_nettoyees!$B$2:$B$200,IF(tableau_de_bord!$C$6="Toutes","*",tableau_de_bord!$C$6),donnees_nettoyees!$C$2:$C$200,IF(tableau_de_bord!$F$6="Toutes","*",tableau_de_bord!$F$6))</f>
        <v/>
      </c>
    </row>
    <row r="23">
      <c r="A23" t="inlineStr">
        <is>
          <t>C�te-d'Or</t>
        </is>
      </c>
      <c r="B23">
        <f>SUMIFS(donnees_nettoyees!$BS$2:$BS$200,donnees_nettoyees!$E$2:$E$200,A23,donnees_nettoyees!$B$2:$B$200,tableau_de_bord!$C$6,donnees_nettoyees!$C$2:$C$200,tableau_de_bord!$F$6)</f>
        <v/>
      </c>
      <c r="C23">
        <f>SUMIFS(donnees_nettoyees!$BS$2:$BS$200,donnees_nettoyees!$E$2:$E$200,A23,donnees_nettoyees!$B$2:$B$200,IF(tableau_de_bord!$C$6="Toutes","*",tableau_de_bord!$C$6),donnees_nettoyees!$C$2:$C$200,IF(tableau_de_bord!$F$6="Toutes","*",tableau_de_bord!$F$6))</f>
        <v/>
      </c>
    </row>
    <row r="24">
      <c r="A24" t="inlineStr">
        <is>
          <t>C�tes-d'Armor</t>
        </is>
      </c>
      <c r="B24">
        <f>SUMIFS(donnees_nettoyees!$BS$2:$BS$200,donnees_nettoyees!$E$2:$E$200,A24,donnees_nettoyees!$B$2:$B$200,tableau_de_bord!$C$6,donnees_nettoyees!$C$2:$C$200,tableau_de_bord!$F$6)</f>
        <v/>
      </c>
      <c r="C24">
        <f>SUMIFS(donnees_nettoyees!$BS$2:$BS$200,donnees_nettoyees!$E$2:$E$200,A24,donnees_nettoyees!$B$2:$B$200,IF(tableau_de_bord!$C$6="Toutes","*",tableau_de_bord!$C$6),donnees_nettoyees!$C$2:$C$200,IF(tableau_de_bord!$F$6="Toutes","*",tableau_de_bord!$F$6))</f>
        <v/>
      </c>
    </row>
    <row r="25">
      <c r="A25" t="inlineStr">
        <is>
          <t>Deux-S�vres</t>
        </is>
      </c>
      <c r="B25">
        <f>SUMIFS(donnees_nettoyees!$BS$2:$BS$200,donnees_nettoyees!$E$2:$E$200,A25,donnees_nettoyees!$B$2:$B$200,tableau_de_bord!$C$6,donnees_nettoyees!$C$2:$C$200,tableau_de_bord!$F$6)</f>
        <v/>
      </c>
      <c r="C25">
        <f>SUMIFS(donnees_nettoyees!$BS$2:$BS$200,donnees_nettoyees!$E$2:$E$200,A25,donnees_nettoyees!$B$2:$B$200,IF(tableau_de_bord!$C$6="Toutes","*",tableau_de_bord!$C$6),donnees_nettoyees!$C$2:$C$200,IF(tableau_de_bord!$F$6="Toutes","*",tableau_de_bord!$F$6))</f>
        <v/>
      </c>
    </row>
    <row r="26">
      <c r="A26" t="inlineStr">
        <is>
          <t>Dordogne</t>
        </is>
      </c>
      <c r="B26">
        <f>SUMIFS(donnees_nettoyees!$BS$2:$BS$200,donnees_nettoyees!$E$2:$E$200,A26,donnees_nettoyees!$B$2:$B$200,tableau_de_bord!$C$6,donnees_nettoyees!$C$2:$C$200,tableau_de_bord!$F$6)</f>
        <v/>
      </c>
      <c r="C26">
        <f>SUMIFS(donnees_nettoyees!$BS$2:$BS$200,donnees_nettoyees!$E$2:$E$200,A26,donnees_nettoyees!$B$2:$B$200,IF(tableau_de_bord!$C$6="Toutes","*",tableau_de_bord!$C$6),donnees_nettoyees!$C$2:$C$200,IF(tableau_de_bord!$F$6="Toutes","*",tableau_de_bord!$F$6))</f>
        <v/>
      </c>
    </row>
    <row r="27">
      <c r="A27" t="inlineStr">
        <is>
          <t>Doubs</t>
        </is>
      </c>
      <c r="B27">
        <f>SUMIFS(donnees_nettoyees!$BS$2:$BS$200,donnees_nettoyees!$E$2:$E$200,A27,donnees_nettoyees!$B$2:$B$200,tableau_de_bord!$C$6,donnees_nettoyees!$C$2:$C$200,tableau_de_bord!$F$6)</f>
        <v/>
      </c>
      <c r="C27">
        <f>SUMIFS(donnees_nettoyees!$BS$2:$BS$200,donnees_nettoyees!$E$2:$E$200,A27,donnees_nettoyees!$B$2:$B$200,IF(tableau_de_bord!$C$6="Toutes","*",tableau_de_bord!$C$6),donnees_nettoyees!$C$2:$C$200,IF(tableau_de_bord!$F$6="Toutes","*",tableau_de_bord!$F$6))</f>
        <v/>
      </c>
    </row>
    <row r="28">
      <c r="A28" t="inlineStr">
        <is>
          <t>Dr�me</t>
        </is>
      </c>
      <c r="B28">
        <f>SUMIFS(donnees_nettoyees!$BS$2:$BS$200,donnees_nettoyees!$E$2:$E$200,A28,donnees_nettoyees!$B$2:$B$200,tableau_de_bord!$C$6,donnees_nettoyees!$C$2:$C$200,tableau_de_bord!$F$6)</f>
        <v/>
      </c>
      <c r="C28">
        <f>SUMIFS(donnees_nettoyees!$BS$2:$BS$200,donnees_nettoyees!$E$2:$E$200,A28,donnees_nettoyees!$B$2:$B$200,IF(tableau_de_bord!$C$6="Toutes","*",tableau_de_bord!$C$6),donnees_nettoyees!$C$2:$C$200,IF(tableau_de_bord!$F$6="Toutes","*",tableau_de_bord!$F$6))</f>
        <v/>
      </c>
    </row>
    <row r="29">
      <c r="A29" t="inlineStr">
        <is>
          <t>Essonne</t>
        </is>
      </c>
      <c r="B29">
        <f>SUMIFS(donnees_nettoyees!$BS$2:$BS$200,donnees_nettoyees!$E$2:$E$200,A29,donnees_nettoyees!$B$2:$B$200,tableau_de_bord!$C$6,donnees_nettoyees!$C$2:$C$200,tableau_de_bord!$F$6)</f>
        <v/>
      </c>
      <c r="C29">
        <f>SUMIFS(donnees_nettoyees!$BS$2:$BS$200,donnees_nettoyees!$E$2:$E$200,A29,donnees_nettoyees!$B$2:$B$200,IF(tableau_de_bord!$C$6="Toutes","*",tableau_de_bord!$C$6),donnees_nettoyees!$C$2:$C$200,IF(tableau_de_bord!$F$6="Toutes","*",tableau_de_bord!$F$6))</f>
        <v/>
      </c>
    </row>
    <row r="30">
      <c r="A30" t="inlineStr">
        <is>
          <t>Eure</t>
        </is>
      </c>
      <c r="B30">
        <f>SUMIFS(donnees_nettoyees!$BS$2:$BS$200,donnees_nettoyees!$E$2:$E$200,A30,donnees_nettoyees!$B$2:$B$200,tableau_de_bord!$C$6,donnees_nettoyees!$C$2:$C$200,tableau_de_bord!$F$6)</f>
        <v/>
      </c>
      <c r="C30">
        <f>SUMIFS(donnees_nettoyees!$BS$2:$BS$200,donnees_nettoyees!$E$2:$E$200,A30,donnees_nettoyees!$B$2:$B$200,IF(tableau_de_bord!$C$6="Toutes","*",tableau_de_bord!$C$6),donnees_nettoyees!$C$2:$C$200,IF(tableau_de_bord!$F$6="Toutes","*",tableau_de_bord!$F$6))</f>
        <v/>
      </c>
    </row>
    <row r="31">
      <c r="A31" t="inlineStr">
        <is>
          <t>Eure-et-Loir</t>
        </is>
      </c>
      <c r="B31">
        <f>SUMIFS(donnees_nettoyees!$BS$2:$BS$200,donnees_nettoyees!$E$2:$E$200,A31,donnees_nettoyees!$B$2:$B$200,tableau_de_bord!$C$6,donnees_nettoyees!$C$2:$C$200,tableau_de_bord!$F$6)</f>
        <v/>
      </c>
      <c r="C31">
        <f>SUMIFS(donnees_nettoyees!$BS$2:$BS$200,donnees_nettoyees!$E$2:$E$200,A31,donnees_nettoyees!$B$2:$B$200,IF(tableau_de_bord!$C$6="Toutes","*",tableau_de_bord!$C$6),donnees_nettoyees!$C$2:$C$200,IF(tableau_de_bord!$F$6="Toutes","*",tableau_de_bord!$F$6))</f>
        <v/>
      </c>
    </row>
    <row r="32">
      <c r="A32" t="inlineStr">
        <is>
          <t>Finist�re</t>
        </is>
      </c>
      <c r="B32">
        <f>SUMIFS(donnees_nettoyees!$BS$2:$BS$200,donnees_nettoyees!$E$2:$E$200,A32,donnees_nettoyees!$B$2:$B$200,tableau_de_bord!$C$6,donnees_nettoyees!$C$2:$C$200,tableau_de_bord!$F$6)</f>
        <v/>
      </c>
      <c r="C32">
        <f>SUMIFS(donnees_nettoyees!$BS$2:$BS$200,donnees_nettoyees!$E$2:$E$200,A32,donnees_nettoyees!$B$2:$B$200,IF(tableau_de_bord!$C$6="Toutes","*",tableau_de_bord!$C$6),donnees_nettoyees!$C$2:$C$200,IF(tableau_de_bord!$F$6="Toutes","*",tableau_de_bord!$F$6))</f>
        <v/>
      </c>
    </row>
    <row r="33">
      <c r="A33" t="inlineStr">
        <is>
          <t>Gard</t>
        </is>
      </c>
      <c r="B33">
        <f>SUMIFS(donnees_nettoyees!$BS$2:$BS$200,donnees_nettoyees!$E$2:$E$200,A33,donnees_nettoyees!$B$2:$B$200,tableau_de_bord!$C$6,donnees_nettoyees!$C$2:$C$200,tableau_de_bord!$F$6)</f>
        <v/>
      </c>
      <c r="C33">
        <f>SUMIFS(donnees_nettoyees!$BS$2:$BS$200,donnees_nettoyees!$E$2:$E$200,A33,donnees_nettoyees!$B$2:$B$200,IF(tableau_de_bord!$C$6="Toutes","*",tableau_de_bord!$C$6),donnees_nettoyees!$C$2:$C$200,IF(tableau_de_bord!$F$6="Toutes","*",tableau_de_bord!$F$6))</f>
        <v/>
      </c>
    </row>
    <row r="34">
      <c r="A34" t="inlineStr">
        <is>
          <t>Gers</t>
        </is>
      </c>
      <c r="B34">
        <f>SUMIFS(donnees_nettoyees!$BS$2:$BS$200,donnees_nettoyees!$E$2:$E$200,A34,donnees_nettoyees!$B$2:$B$200,tableau_de_bord!$C$6,donnees_nettoyees!$C$2:$C$200,tableau_de_bord!$F$6)</f>
        <v/>
      </c>
      <c r="C34">
        <f>SUMIFS(donnees_nettoyees!$BS$2:$BS$200,donnees_nettoyees!$E$2:$E$200,A34,donnees_nettoyees!$B$2:$B$200,IF(tableau_de_bord!$C$6="Toutes","*",tableau_de_bord!$C$6),donnees_nettoyees!$C$2:$C$200,IF(tableau_de_bord!$F$6="Toutes","*",tableau_de_bord!$F$6))</f>
        <v/>
      </c>
    </row>
    <row r="35">
      <c r="A35" t="inlineStr">
        <is>
          <t>Gironde</t>
        </is>
      </c>
      <c r="B35">
        <f>SUMIFS(donnees_nettoyees!$BS$2:$BS$200,donnees_nettoyees!$E$2:$E$200,A35,donnees_nettoyees!$B$2:$B$200,tableau_de_bord!$C$6,donnees_nettoyees!$C$2:$C$200,tableau_de_bord!$F$6)</f>
        <v/>
      </c>
      <c r="C35">
        <f>SUMIFS(donnees_nettoyees!$BS$2:$BS$200,donnees_nettoyees!$E$2:$E$200,A35,donnees_nettoyees!$B$2:$B$200,IF(tableau_de_bord!$C$6="Toutes","*",tableau_de_bord!$C$6),donnees_nettoyees!$C$2:$C$200,IF(tableau_de_bord!$F$6="Toutes","*",tableau_de_bord!$F$6))</f>
        <v/>
      </c>
    </row>
    <row r="36">
      <c r="A36" t="inlineStr">
        <is>
          <t>Guadeloupe</t>
        </is>
      </c>
      <c r="B36">
        <f>SUMIFS(donnees_nettoyees!$BS$2:$BS$200,donnees_nettoyees!$E$2:$E$200,A36,donnees_nettoyees!$B$2:$B$200,tableau_de_bord!$C$6,donnees_nettoyees!$C$2:$C$200,tableau_de_bord!$F$6)</f>
        <v/>
      </c>
      <c r="C36">
        <f>SUMIFS(donnees_nettoyees!$BS$2:$BS$200,donnees_nettoyees!$E$2:$E$200,A36,donnees_nettoyees!$B$2:$B$200,IF(tableau_de_bord!$C$6="Toutes","*",tableau_de_bord!$C$6),donnees_nettoyees!$C$2:$C$200,IF(tableau_de_bord!$F$6="Toutes","*",tableau_de_bord!$F$6))</f>
        <v/>
      </c>
    </row>
    <row r="37">
      <c r="A37" t="inlineStr">
        <is>
          <t>Guyane</t>
        </is>
      </c>
      <c r="B37">
        <f>SUMIFS(donnees_nettoyees!$BS$2:$BS$200,donnees_nettoyees!$E$2:$E$200,A37,donnees_nettoyees!$B$2:$B$200,tableau_de_bord!$C$6,donnees_nettoyees!$C$2:$C$200,tableau_de_bord!$F$6)</f>
        <v/>
      </c>
      <c r="C37">
        <f>SUMIFS(donnees_nettoyees!$BS$2:$BS$200,donnees_nettoyees!$E$2:$E$200,A37,donnees_nettoyees!$B$2:$B$200,IF(tableau_de_bord!$C$6="Toutes","*",tableau_de_bord!$C$6),donnees_nettoyees!$C$2:$C$200,IF(tableau_de_bord!$F$6="Toutes","*",tableau_de_bord!$F$6))</f>
        <v/>
      </c>
    </row>
    <row r="38">
      <c r="A38" t="inlineStr">
        <is>
          <t>Haut-Rhin</t>
        </is>
      </c>
      <c r="B38">
        <f>SUMIFS(donnees_nettoyees!$BS$2:$BS$200,donnees_nettoyees!$E$2:$E$200,A38,donnees_nettoyees!$B$2:$B$200,tableau_de_bord!$C$6,donnees_nettoyees!$C$2:$C$200,tableau_de_bord!$F$6)</f>
        <v/>
      </c>
      <c r="C38">
        <f>SUMIFS(donnees_nettoyees!$BS$2:$BS$200,donnees_nettoyees!$E$2:$E$200,A38,donnees_nettoyees!$B$2:$B$200,IF(tableau_de_bord!$C$6="Toutes","*",tableau_de_bord!$C$6),donnees_nettoyees!$C$2:$C$200,IF(tableau_de_bord!$F$6="Toutes","*",tableau_de_bord!$F$6))</f>
        <v/>
      </c>
    </row>
    <row r="39">
      <c r="A39" t="inlineStr">
        <is>
          <t>Haute-Corse</t>
        </is>
      </c>
      <c r="B39">
        <f>SUMIFS(donnees_nettoyees!$BS$2:$BS$200,donnees_nettoyees!$E$2:$E$200,A39,donnees_nettoyees!$B$2:$B$200,tableau_de_bord!$C$6,donnees_nettoyees!$C$2:$C$200,tableau_de_bord!$F$6)</f>
        <v/>
      </c>
      <c r="C39">
        <f>SUMIFS(donnees_nettoyees!$BS$2:$BS$200,donnees_nettoyees!$E$2:$E$200,A39,donnees_nettoyees!$B$2:$B$200,IF(tableau_de_bord!$C$6="Toutes","*",tableau_de_bord!$C$6),donnees_nettoyees!$C$2:$C$200,IF(tableau_de_bord!$F$6="Toutes","*",tableau_de_bord!$F$6))</f>
        <v/>
      </c>
    </row>
    <row r="40">
      <c r="A40" t="inlineStr">
        <is>
          <t>Haute-Garonne</t>
        </is>
      </c>
      <c r="B40">
        <f>SUMIFS(donnees_nettoyees!$BS$2:$BS$200,donnees_nettoyees!$E$2:$E$200,A40,donnees_nettoyees!$B$2:$B$200,tableau_de_bord!$C$6,donnees_nettoyees!$C$2:$C$200,tableau_de_bord!$F$6)</f>
        <v/>
      </c>
      <c r="C40">
        <f>SUMIFS(donnees_nettoyees!$BS$2:$BS$200,donnees_nettoyees!$E$2:$E$200,A40,donnees_nettoyees!$B$2:$B$200,IF(tableau_de_bord!$C$6="Toutes","*",tableau_de_bord!$C$6),donnees_nettoyees!$C$2:$C$200,IF(tableau_de_bord!$F$6="Toutes","*",tableau_de_bord!$F$6))</f>
        <v/>
      </c>
    </row>
    <row r="41">
      <c r="A41" t="inlineStr">
        <is>
          <t>Haute-Loire</t>
        </is>
      </c>
      <c r="B41">
        <f>SUMIFS(donnees_nettoyees!$BS$2:$BS$200,donnees_nettoyees!$E$2:$E$200,A41,donnees_nettoyees!$B$2:$B$200,tableau_de_bord!$C$6,donnees_nettoyees!$C$2:$C$200,tableau_de_bord!$F$6)</f>
        <v/>
      </c>
      <c r="C41">
        <f>SUMIFS(donnees_nettoyees!$BS$2:$BS$200,donnees_nettoyees!$E$2:$E$200,A41,donnees_nettoyees!$B$2:$B$200,IF(tableau_de_bord!$C$6="Toutes","*",tableau_de_bord!$C$6),donnees_nettoyees!$C$2:$C$200,IF(tableau_de_bord!$F$6="Toutes","*",tableau_de_bord!$F$6))</f>
        <v/>
      </c>
    </row>
    <row r="42">
      <c r="A42" t="inlineStr">
        <is>
          <t>Haute-Marne</t>
        </is>
      </c>
      <c r="B42">
        <f>SUMIFS(donnees_nettoyees!$BS$2:$BS$200,donnees_nettoyees!$E$2:$E$200,A42,donnees_nettoyees!$B$2:$B$200,tableau_de_bord!$C$6,donnees_nettoyees!$C$2:$C$200,tableau_de_bord!$F$6)</f>
        <v/>
      </c>
      <c r="C42">
        <f>SUMIFS(donnees_nettoyees!$BS$2:$BS$200,donnees_nettoyees!$E$2:$E$200,A42,donnees_nettoyees!$B$2:$B$200,IF(tableau_de_bord!$C$6="Toutes","*",tableau_de_bord!$C$6),donnees_nettoyees!$C$2:$C$200,IF(tableau_de_bord!$F$6="Toutes","*",tableau_de_bord!$F$6))</f>
        <v/>
      </c>
    </row>
    <row r="43">
      <c r="A43" t="inlineStr">
        <is>
          <t>Haute-Savoie</t>
        </is>
      </c>
      <c r="B43">
        <f>SUMIFS(donnees_nettoyees!$BS$2:$BS$200,donnees_nettoyees!$E$2:$E$200,A43,donnees_nettoyees!$B$2:$B$200,tableau_de_bord!$C$6,donnees_nettoyees!$C$2:$C$200,tableau_de_bord!$F$6)</f>
        <v/>
      </c>
      <c r="C43">
        <f>SUMIFS(donnees_nettoyees!$BS$2:$BS$200,donnees_nettoyees!$E$2:$E$200,A43,donnees_nettoyees!$B$2:$B$200,IF(tableau_de_bord!$C$6="Toutes","*",tableau_de_bord!$C$6),donnees_nettoyees!$C$2:$C$200,IF(tableau_de_bord!$F$6="Toutes","*",tableau_de_bord!$F$6))</f>
        <v/>
      </c>
    </row>
    <row r="44">
      <c r="A44" t="inlineStr">
        <is>
          <t>Haute-Sa�ne</t>
        </is>
      </c>
      <c r="B44">
        <f>SUMIFS(donnees_nettoyees!$BS$2:$BS$200,donnees_nettoyees!$E$2:$E$200,A44,donnees_nettoyees!$B$2:$B$200,tableau_de_bord!$C$6,donnees_nettoyees!$C$2:$C$200,tableau_de_bord!$F$6)</f>
        <v/>
      </c>
      <c r="C44">
        <f>SUMIFS(donnees_nettoyees!$BS$2:$BS$200,donnees_nettoyees!$E$2:$E$200,A44,donnees_nettoyees!$B$2:$B$200,IF(tableau_de_bord!$C$6="Toutes","*",tableau_de_bord!$C$6),donnees_nettoyees!$C$2:$C$200,IF(tableau_de_bord!$F$6="Toutes","*",tableau_de_bord!$F$6))</f>
        <v/>
      </c>
    </row>
    <row r="45">
      <c r="A45" t="inlineStr">
        <is>
          <t>Haute-Vienne</t>
        </is>
      </c>
      <c r="B45">
        <f>SUMIFS(donnees_nettoyees!$BS$2:$BS$200,donnees_nettoyees!$E$2:$E$200,A45,donnees_nettoyees!$B$2:$B$200,tableau_de_bord!$C$6,donnees_nettoyees!$C$2:$C$200,tableau_de_bord!$F$6)</f>
        <v/>
      </c>
      <c r="C45">
        <f>SUMIFS(donnees_nettoyees!$BS$2:$BS$200,donnees_nettoyees!$E$2:$E$200,A45,donnees_nettoyees!$B$2:$B$200,IF(tableau_de_bord!$C$6="Toutes","*",tableau_de_bord!$C$6),donnees_nettoyees!$C$2:$C$200,IF(tableau_de_bord!$F$6="Toutes","*",tableau_de_bord!$F$6))</f>
        <v/>
      </c>
    </row>
    <row r="46">
      <c r="A46" t="inlineStr">
        <is>
          <t>Hautes-Alpes</t>
        </is>
      </c>
      <c r="B46">
        <f>SUMIFS(donnees_nettoyees!$BS$2:$BS$200,donnees_nettoyees!$E$2:$E$200,A46,donnees_nettoyees!$B$2:$B$200,tableau_de_bord!$C$6,donnees_nettoyees!$C$2:$C$200,tableau_de_bord!$F$6)</f>
        <v/>
      </c>
      <c r="C46">
        <f>SUMIFS(donnees_nettoyees!$BS$2:$BS$200,donnees_nettoyees!$E$2:$E$200,A46,donnees_nettoyees!$B$2:$B$200,IF(tableau_de_bord!$C$6="Toutes","*",tableau_de_bord!$C$6),donnees_nettoyees!$C$2:$C$200,IF(tableau_de_bord!$F$6="Toutes","*",tableau_de_bord!$F$6))</f>
        <v/>
      </c>
    </row>
    <row r="47">
      <c r="A47" t="inlineStr">
        <is>
          <t>Hautes-Pyr�n�es</t>
        </is>
      </c>
      <c r="B47">
        <f>SUMIFS(donnees_nettoyees!$BS$2:$BS$200,donnees_nettoyees!$E$2:$E$200,A47,donnees_nettoyees!$B$2:$B$200,tableau_de_bord!$C$6,donnees_nettoyees!$C$2:$C$200,tableau_de_bord!$F$6)</f>
        <v/>
      </c>
      <c r="C47">
        <f>SUMIFS(donnees_nettoyees!$BS$2:$BS$200,donnees_nettoyees!$E$2:$E$200,A47,donnees_nettoyees!$B$2:$B$200,IF(tableau_de_bord!$C$6="Toutes","*",tableau_de_bord!$C$6),donnees_nettoyees!$C$2:$C$200,IF(tableau_de_bord!$F$6="Toutes","*",tableau_de_bord!$F$6))</f>
        <v/>
      </c>
    </row>
    <row r="48">
      <c r="A48" t="inlineStr">
        <is>
          <t>H�rault</t>
        </is>
      </c>
      <c r="B48">
        <f>SUMIFS(donnees_nettoyees!$BS$2:$BS$200,donnees_nettoyees!$E$2:$E$200,A48,donnees_nettoyees!$B$2:$B$200,tableau_de_bord!$C$6,donnees_nettoyees!$C$2:$C$200,tableau_de_bord!$F$6)</f>
        <v/>
      </c>
      <c r="C48">
        <f>SUMIFS(donnees_nettoyees!$BS$2:$BS$200,donnees_nettoyees!$E$2:$E$200,A48,donnees_nettoyees!$B$2:$B$200,IF(tableau_de_bord!$C$6="Toutes","*",tableau_de_bord!$C$6),donnees_nettoyees!$C$2:$C$200,IF(tableau_de_bord!$F$6="Toutes","*",tableau_de_bord!$F$6))</f>
        <v/>
      </c>
    </row>
    <row r="49">
      <c r="A49" t="inlineStr">
        <is>
          <t>Ille-et-Vilaine</t>
        </is>
      </c>
      <c r="B49">
        <f>SUMIFS(donnees_nettoyees!$BS$2:$BS$200,donnees_nettoyees!$E$2:$E$200,A49,donnees_nettoyees!$B$2:$B$200,tableau_de_bord!$C$6,donnees_nettoyees!$C$2:$C$200,tableau_de_bord!$F$6)</f>
        <v/>
      </c>
      <c r="C49">
        <f>SUMIFS(donnees_nettoyees!$BS$2:$BS$200,donnees_nettoyees!$E$2:$E$200,A49,donnees_nettoyees!$B$2:$B$200,IF(tableau_de_bord!$C$6="Toutes","*",tableau_de_bord!$C$6),donnees_nettoyees!$C$2:$C$200,IF(tableau_de_bord!$F$6="Toutes","*",tableau_de_bord!$F$6))</f>
        <v/>
      </c>
    </row>
    <row r="50">
      <c r="A50" t="inlineStr">
        <is>
          <t>Indre</t>
        </is>
      </c>
      <c r="B50">
        <f>SUMIFS(donnees_nettoyees!$BS$2:$BS$200,donnees_nettoyees!$E$2:$E$200,A50,donnees_nettoyees!$B$2:$B$200,tableau_de_bord!$C$6,donnees_nettoyees!$C$2:$C$200,tableau_de_bord!$F$6)</f>
        <v/>
      </c>
      <c r="C50">
        <f>SUMIFS(donnees_nettoyees!$BS$2:$BS$200,donnees_nettoyees!$E$2:$E$200,A50,donnees_nettoyees!$B$2:$B$200,IF(tableau_de_bord!$C$6="Toutes","*",tableau_de_bord!$C$6),donnees_nettoyees!$C$2:$C$200,IF(tableau_de_bord!$F$6="Toutes","*",tableau_de_bord!$F$6))</f>
        <v/>
      </c>
    </row>
    <row r="51">
      <c r="A51" t="inlineStr">
        <is>
          <t>Indre-et-Loire</t>
        </is>
      </c>
      <c r="B51">
        <f>SUMIFS(donnees_nettoyees!$BS$2:$BS$200,donnees_nettoyees!$E$2:$E$200,A51,donnees_nettoyees!$B$2:$B$200,tableau_de_bord!$C$6,donnees_nettoyees!$C$2:$C$200,tableau_de_bord!$F$6)</f>
        <v/>
      </c>
      <c r="C51">
        <f>SUMIFS(donnees_nettoyees!$BS$2:$BS$200,donnees_nettoyees!$E$2:$E$200,A51,donnees_nettoyees!$B$2:$B$200,IF(tableau_de_bord!$C$6="Toutes","*",tableau_de_bord!$C$6),donnees_nettoyees!$C$2:$C$200,IF(tableau_de_bord!$F$6="Toutes","*",tableau_de_bord!$F$6))</f>
        <v/>
      </c>
    </row>
    <row r="52">
      <c r="A52" t="inlineStr">
        <is>
          <t>Is�re</t>
        </is>
      </c>
      <c r="B52">
        <f>SUMIFS(donnees_nettoyees!$BS$2:$BS$200,donnees_nettoyees!$E$2:$E$200,A52,donnees_nettoyees!$B$2:$B$200,tableau_de_bord!$C$6,donnees_nettoyees!$C$2:$C$200,tableau_de_bord!$F$6)</f>
        <v/>
      </c>
      <c r="C52">
        <f>SUMIFS(donnees_nettoyees!$BS$2:$BS$200,donnees_nettoyees!$E$2:$E$200,A52,donnees_nettoyees!$B$2:$B$200,IF(tableau_de_bord!$C$6="Toutes","*",tableau_de_bord!$C$6),donnees_nettoyees!$C$2:$C$200,IF(tableau_de_bord!$F$6="Toutes","*",tableau_de_bord!$F$6))</f>
        <v/>
      </c>
    </row>
    <row r="53">
      <c r="A53" t="inlineStr">
        <is>
          <t>Jura</t>
        </is>
      </c>
      <c r="B53">
        <f>SUMIFS(donnees_nettoyees!$BS$2:$BS$200,donnees_nettoyees!$E$2:$E$200,A53,donnees_nettoyees!$B$2:$B$200,tableau_de_bord!$C$6,donnees_nettoyees!$C$2:$C$200,tableau_de_bord!$F$6)</f>
        <v/>
      </c>
      <c r="C53">
        <f>SUMIFS(donnees_nettoyees!$BS$2:$BS$200,donnees_nettoyees!$E$2:$E$200,A53,donnees_nettoyees!$B$2:$B$200,IF(tableau_de_bord!$C$6="Toutes","*",tableau_de_bord!$C$6),donnees_nettoyees!$C$2:$C$200,IF(tableau_de_bord!$F$6="Toutes","*",tableau_de_bord!$F$6))</f>
        <v/>
      </c>
    </row>
    <row r="54">
      <c r="A54" t="inlineStr">
        <is>
          <t>Landes</t>
        </is>
      </c>
      <c r="B54">
        <f>SUMIFS(donnees_nettoyees!$BS$2:$BS$200,donnees_nettoyees!$E$2:$E$200,A54,donnees_nettoyees!$B$2:$B$200,tableau_de_bord!$C$6,donnees_nettoyees!$C$2:$C$200,tableau_de_bord!$F$6)</f>
        <v/>
      </c>
      <c r="C54">
        <f>SUMIFS(donnees_nettoyees!$BS$2:$BS$200,donnees_nettoyees!$E$2:$E$200,A54,donnees_nettoyees!$B$2:$B$200,IF(tableau_de_bord!$C$6="Toutes","*",tableau_de_bord!$C$6),donnees_nettoyees!$C$2:$C$200,IF(tableau_de_bord!$F$6="Toutes","*",tableau_de_bord!$F$6))</f>
        <v/>
      </c>
    </row>
    <row r="55">
      <c r="A55" t="inlineStr">
        <is>
          <t>Loir-et-Cher</t>
        </is>
      </c>
      <c r="B55">
        <f>SUMIFS(donnees_nettoyees!$BS$2:$BS$200,donnees_nettoyees!$E$2:$E$200,A55,donnees_nettoyees!$B$2:$B$200,tableau_de_bord!$C$6,donnees_nettoyees!$C$2:$C$200,tableau_de_bord!$F$6)</f>
        <v/>
      </c>
      <c r="C55">
        <f>SUMIFS(donnees_nettoyees!$BS$2:$BS$200,donnees_nettoyees!$E$2:$E$200,A55,donnees_nettoyees!$B$2:$B$200,IF(tableau_de_bord!$C$6="Toutes","*",tableau_de_bord!$C$6),donnees_nettoyees!$C$2:$C$200,IF(tableau_de_bord!$F$6="Toutes","*",tableau_de_bord!$F$6))</f>
        <v/>
      </c>
    </row>
    <row r="56">
      <c r="A56" t="inlineStr">
        <is>
          <t>Loire</t>
        </is>
      </c>
      <c r="B56">
        <f>SUMIFS(donnees_nettoyees!$BS$2:$BS$200,donnees_nettoyees!$E$2:$E$200,A56,donnees_nettoyees!$B$2:$B$200,tableau_de_bord!$C$6,donnees_nettoyees!$C$2:$C$200,tableau_de_bord!$F$6)</f>
        <v/>
      </c>
      <c r="C56">
        <f>SUMIFS(donnees_nettoyees!$BS$2:$BS$200,donnees_nettoyees!$E$2:$E$200,A56,donnees_nettoyees!$B$2:$B$200,IF(tableau_de_bord!$C$6="Toutes","*",tableau_de_bord!$C$6),donnees_nettoyees!$C$2:$C$200,IF(tableau_de_bord!$F$6="Toutes","*",tableau_de_bord!$F$6))</f>
        <v/>
      </c>
    </row>
    <row r="57">
      <c r="A57" t="inlineStr">
        <is>
          <t>Loire-Atlantique</t>
        </is>
      </c>
      <c r="B57">
        <f>SUMIFS(donnees_nettoyees!$BS$2:$BS$200,donnees_nettoyees!$E$2:$E$200,A57,donnees_nettoyees!$B$2:$B$200,tableau_de_bord!$C$6,donnees_nettoyees!$C$2:$C$200,tableau_de_bord!$F$6)</f>
        <v/>
      </c>
      <c r="C57">
        <f>SUMIFS(donnees_nettoyees!$BS$2:$BS$200,donnees_nettoyees!$E$2:$E$200,A57,donnees_nettoyees!$B$2:$B$200,IF(tableau_de_bord!$C$6="Toutes","*",tableau_de_bord!$C$6),donnees_nettoyees!$C$2:$C$200,IF(tableau_de_bord!$F$6="Toutes","*",tableau_de_bord!$F$6))</f>
        <v/>
      </c>
    </row>
    <row r="58">
      <c r="A58" t="inlineStr">
        <is>
          <t>Loiret</t>
        </is>
      </c>
      <c r="B58">
        <f>SUMIFS(donnees_nettoyees!$BS$2:$BS$200,donnees_nettoyees!$E$2:$E$200,A58,donnees_nettoyees!$B$2:$B$200,tableau_de_bord!$C$6,donnees_nettoyees!$C$2:$C$200,tableau_de_bord!$F$6)</f>
        <v/>
      </c>
      <c r="C58">
        <f>SUMIFS(donnees_nettoyees!$BS$2:$BS$200,donnees_nettoyees!$E$2:$E$200,A58,donnees_nettoyees!$B$2:$B$200,IF(tableau_de_bord!$C$6="Toutes","*",tableau_de_bord!$C$6),donnees_nettoyees!$C$2:$C$200,IF(tableau_de_bord!$F$6="Toutes","*",tableau_de_bord!$F$6))</f>
        <v/>
      </c>
    </row>
    <row r="59">
      <c r="A59" t="inlineStr">
        <is>
          <t>Lot</t>
        </is>
      </c>
      <c r="B59">
        <f>SUMIFS(donnees_nettoyees!$BS$2:$BS$200,donnees_nettoyees!$E$2:$E$200,A59,donnees_nettoyees!$B$2:$B$200,tableau_de_bord!$C$6,donnees_nettoyees!$C$2:$C$200,tableau_de_bord!$F$6)</f>
        <v/>
      </c>
      <c r="C59">
        <f>SUMIFS(donnees_nettoyees!$BS$2:$BS$200,donnees_nettoyees!$E$2:$E$200,A59,donnees_nettoyees!$B$2:$B$200,IF(tableau_de_bord!$C$6="Toutes","*",tableau_de_bord!$C$6),donnees_nettoyees!$C$2:$C$200,IF(tableau_de_bord!$F$6="Toutes","*",tableau_de_bord!$F$6))</f>
        <v/>
      </c>
    </row>
    <row r="60">
      <c r="A60" t="inlineStr">
        <is>
          <t>Lot-et-Garonne</t>
        </is>
      </c>
      <c r="B60">
        <f>SUMIFS(donnees_nettoyees!$BS$2:$BS$200,donnees_nettoyees!$E$2:$E$200,A60,donnees_nettoyees!$B$2:$B$200,tableau_de_bord!$C$6,donnees_nettoyees!$C$2:$C$200,tableau_de_bord!$F$6)</f>
        <v/>
      </c>
      <c r="C60">
        <f>SUMIFS(donnees_nettoyees!$BS$2:$BS$200,donnees_nettoyees!$E$2:$E$200,A60,donnees_nettoyees!$B$2:$B$200,IF(tableau_de_bord!$C$6="Toutes","*",tableau_de_bord!$C$6),donnees_nettoyees!$C$2:$C$200,IF(tableau_de_bord!$F$6="Toutes","*",tableau_de_bord!$F$6))</f>
        <v/>
      </c>
    </row>
    <row r="61">
      <c r="A61" t="inlineStr">
        <is>
          <t>Loz�re</t>
        </is>
      </c>
      <c r="B61">
        <f>SUMIFS(donnees_nettoyees!$BS$2:$BS$200,donnees_nettoyees!$E$2:$E$200,A61,donnees_nettoyees!$B$2:$B$200,tableau_de_bord!$C$6,donnees_nettoyees!$C$2:$C$200,tableau_de_bord!$F$6)</f>
        <v/>
      </c>
      <c r="C61">
        <f>SUMIFS(donnees_nettoyees!$BS$2:$BS$200,donnees_nettoyees!$E$2:$E$200,A61,donnees_nettoyees!$B$2:$B$200,IF(tableau_de_bord!$C$6="Toutes","*",tableau_de_bord!$C$6),donnees_nettoyees!$C$2:$C$200,IF(tableau_de_bord!$F$6="Toutes","*",tableau_de_bord!$F$6))</f>
        <v/>
      </c>
    </row>
    <row r="62">
      <c r="A62" t="inlineStr">
        <is>
          <t>Maine-et-Loire</t>
        </is>
      </c>
      <c r="B62">
        <f>SUMIFS(donnees_nettoyees!$BS$2:$BS$200,donnees_nettoyees!$E$2:$E$200,A62,donnees_nettoyees!$B$2:$B$200,tableau_de_bord!$C$6,donnees_nettoyees!$C$2:$C$200,tableau_de_bord!$F$6)</f>
        <v/>
      </c>
      <c r="C62">
        <f>SUMIFS(donnees_nettoyees!$BS$2:$BS$200,donnees_nettoyees!$E$2:$E$200,A62,donnees_nettoyees!$B$2:$B$200,IF(tableau_de_bord!$C$6="Toutes","*",tableau_de_bord!$C$6),donnees_nettoyees!$C$2:$C$200,IF(tableau_de_bord!$F$6="Toutes","*",tableau_de_bord!$F$6))</f>
        <v/>
      </c>
    </row>
    <row r="63">
      <c r="A63" t="inlineStr">
        <is>
          <t>Manche</t>
        </is>
      </c>
      <c r="B63">
        <f>SUMIFS(donnees_nettoyees!$BS$2:$BS$200,donnees_nettoyees!$E$2:$E$200,A63,donnees_nettoyees!$B$2:$B$200,tableau_de_bord!$C$6,donnees_nettoyees!$C$2:$C$200,tableau_de_bord!$F$6)</f>
        <v/>
      </c>
      <c r="C63">
        <f>SUMIFS(donnees_nettoyees!$BS$2:$BS$200,donnees_nettoyees!$E$2:$E$200,A63,donnees_nettoyees!$B$2:$B$200,IF(tableau_de_bord!$C$6="Toutes","*",tableau_de_bord!$C$6),donnees_nettoyees!$C$2:$C$200,IF(tableau_de_bord!$F$6="Toutes","*",tableau_de_bord!$F$6))</f>
        <v/>
      </c>
    </row>
    <row r="64">
      <c r="A64" t="inlineStr">
        <is>
          <t>Marne</t>
        </is>
      </c>
      <c r="B64">
        <f>SUMIFS(donnees_nettoyees!$BS$2:$BS$200,donnees_nettoyees!$E$2:$E$200,A64,donnees_nettoyees!$B$2:$B$200,tableau_de_bord!$C$6,donnees_nettoyees!$C$2:$C$200,tableau_de_bord!$F$6)</f>
        <v/>
      </c>
      <c r="C64">
        <f>SUMIFS(donnees_nettoyees!$BS$2:$BS$200,donnees_nettoyees!$E$2:$E$200,A64,donnees_nettoyees!$B$2:$B$200,IF(tableau_de_bord!$C$6="Toutes","*",tableau_de_bord!$C$6),donnees_nettoyees!$C$2:$C$200,IF(tableau_de_bord!$F$6="Toutes","*",tableau_de_bord!$F$6))</f>
        <v/>
      </c>
    </row>
    <row r="65">
      <c r="A65" t="inlineStr">
        <is>
          <t>Martinique</t>
        </is>
      </c>
      <c r="B65">
        <f>SUMIFS(donnees_nettoyees!$BS$2:$BS$200,donnees_nettoyees!$E$2:$E$200,A65,donnees_nettoyees!$B$2:$B$200,tableau_de_bord!$C$6,donnees_nettoyees!$C$2:$C$200,tableau_de_bord!$F$6)</f>
        <v/>
      </c>
      <c r="C65">
        <f>SUMIFS(donnees_nettoyees!$BS$2:$BS$200,donnees_nettoyees!$E$2:$E$200,A65,donnees_nettoyees!$B$2:$B$200,IF(tableau_de_bord!$C$6="Toutes","*",tableau_de_bord!$C$6),donnees_nettoyees!$C$2:$C$200,IF(tableau_de_bord!$F$6="Toutes","*",tableau_de_bord!$F$6))</f>
        <v/>
      </c>
    </row>
    <row r="66">
      <c r="A66" t="inlineStr">
        <is>
          <t>Mayenne</t>
        </is>
      </c>
      <c r="B66">
        <f>SUMIFS(donnees_nettoyees!$BS$2:$BS$200,donnees_nettoyees!$E$2:$E$200,A66,donnees_nettoyees!$B$2:$B$200,tableau_de_bord!$C$6,donnees_nettoyees!$C$2:$C$200,tableau_de_bord!$F$6)</f>
        <v/>
      </c>
      <c r="C66">
        <f>SUMIFS(donnees_nettoyees!$BS$2:$BS$200,donnees_nettoyees!$E$2:$E$200,A66,donnees_nettoyees!$B$2:$B$200,IF(tableau_de_bord!$C$6="Toutes","*",tableau_de_bord!$C$6),donnees_nettoyees!$C$2:$C$200,IF(tableau_de_bord!$F$6="Toutes","*",tableau_de_bord!$F$6))</f>
        <v/>
      </c>
    </row>
    <row r="67">
      <c r="A67" t="inlineStr">
        <is>
          <t>Mayotte</t>
        </is>
      </c>
      <c r="B67">
        <f>SUMIFS(donnees_nettoyees!$BS$2:$BS$200,donnees_nettoyees!$E$2:$E$200,A67,donnees_nettoyees!$B$2:$B$200,tableau_de_bord!$C$6,donnees_nettoyees!$C$2:$C$200,tableau_de_bord!$F$6)</f>
        <v/>
      </c>
      <c r="C67">
        <f>SUMIFS(donnees_nettoyees!$BS$2:$BS$200,donnees_nettoyees!$E$2:$E$200,A67,donnees_nettoyees!$B$2:$B$200,IF(tableau_de_bord!$C$6="Toutes","*",tableau_de_bord!$C$6),donnees_nettoyees!$C$2:$C$200,IF(tableau_de_bord!$F$6="Toutes","*",tableau_de_bord!$F$6))</f>
        <v/>
      </c>
    </row>
    <row r="68">
      <c r="A68" t="inlineStr">
        <is>
          <t>Meurthe-et-Moselle</t>
        </is>
      </c>
      <c r="B68">
        <f>SUMIFS(donnees_nettoyees!$BS$2:$BS$200,donnees_nettoyees!$E$2:$E$200,A68,donnees_nettoyees!$B$2:$B$200,tableau_de_bord!$C$6,donnees_nettoyees!$C$2:$C$200,tableau_de_bord!$F$6)</f>
        <v/>
      </c>
      <c r="C68">
        <f>SUMIFS(donnees_nettoyees!$BS$2:$BS$200,donnees_nettoyees!$E$2:$E$200,A68,donnees_nettoyees!$B$2:$B$200,IF(tableau_de_bord!$C$6="Toutes","*",tableau_de_bord!$C$6),donnees_nettoyees!$C$2:$C$200,IF(tableau_de_bord!$F$6="Toutes","*",tableau_de_bord!$F$6))</f>
        <v/>
      </c>
    </row>
    <row r="69">
      <c r="A69" t="inlineStr">
        <is>
          <t>Meuse</t>
        </is>
      </c>
      <c r="B69">
        <f>SUMIFS(donnees_nettoyees!$BS$2:$BS$200,donnees_nettoyees!$E$2:$E$200,A69,donnees_nettoyees!$B$2:$B$200,tableau_de_bord!$C$6,donnees_nettoyees!$C$2:$C$200,tableau_de_bord!$F$6)</f>
        <v/>
      </c>
      <c r="C69">
        <f>SUMIFS(donnees_nettoyees!$BS$2:$BS$200,donnees_nettoyees!$E$2:$E$200,A69,donnees_nettoyees!$B$2:$B$200,IF(tableau_de_bord!$C$6="Toutes","*",tableau_de_bord!$C$6),donnees_nettoyees!$C$2:$C$200,IF(tableau_de_bord!$F$6="Toutes","*",tableau_de_bord!$F$6))</f>
        <v/>
      </c>
    </row>
    <row r="70">
      <c r="A70" t="inlineStr">
        <is>
          <t>Morbihan</t>
        </is>
      </c>
      <c r="B70">
        <f>SUMIFS(donnees_nettoyees!$BS$2:$BS$200,donnees_nettoyees!$E$2:$E$200,A70,donnees_nettoyees!$B$2:$B$200,tableau_de_bord!$C$6,donnees_nettoyees!$C$2:$C$200,tableau_de_bord!$F$6)</f>
        <v/>
      </c>
      <c r="C70">
        <f>SUMIFS(donnees_nettoyees!$BS$2:$BS$200,donnees_nettoyees!$E$2:$E$200,A70,donnees_nettoyees!$B$2:$B$200,IF(tableau_de_bord!$C$6="Toutes","*",tableau_de_bord!$C$6),donnees_nettoyees!$C$2:$C$200,IF(tableau_de_bord!$F$6="Toutes","*",tableau_de_bord!$F$6))</f>
        <v/>
      </c>
    </row>
    <row r="71">
      <c r="A71" t="inlineStr">
        <is>
          <t>Moselle</t>
        </is>
      </c>
      <c r="B71">
        <f>SUMIFS(donnees_nettoyees!$BS$2:$BS$200,donnees_nettoyees!$E$2:$E$200,A71,donnees_nettoyees!$B$2:$B$200,tableau_de_bord!$C$6,donnees_nettoyees!$C$2:$C$200,tableau_de_bord!$F$6)</f>
        <v/>
      </c>
      <c r="C71">
        <f>SUMIFS(donnees_nettoyees!$BS$2:$BS$200,donnees_nettoyees!$E$2:$E$200,A71,donnees_nettoyees!$B$2:$B$200,IF(tableau_de_bord!$C$6="Toutes","*",tableau_de_bord!$C$6),donnees_nettoyees!$C$2:$C$200,IF(tableau_de_bord!$F$6="Toutes","*",tableau_de_bord!$F$6))</f>
        <v/>
      </c>
    </row>
    <row r="72">
      <c r="A72" t="inlineStr">
        <is>
          <t>Ni�vre</t>
        </is>
      </c>
      <c r="B72">
        <f>SUMIFS(donnees_nettoyees!$BS$2:$BS$200,donnees_nettoyees!$E$2:$E$200,A72,donnees_nettoyees!$B$2:$B$200,tableau_de_bord!$C$6,donnees_nettoyees!$C$2:$C$200,tableau_de_bord!$F$6)</f>
        <v/>
      </c>
      <c r="C72">
        <f>SUMIFS(donnees_nettoyees!$BS$2:$BS$200,donnees_nettoyees!$E$2:$E$200,A72,donnees_nettoyees!$B$2:$B$200,IF(tableau_de_bord!$C$6="Toutes","*",tableau_de_bord!$C$6),donnees_nettoyees!$C$2:$C$200,IF(tableau_de_bord!$F$6="Toutes","*",tableau_de_bord!$F$6))</f>
        <v/>
      </c>
    </row>
    <row r="73">
      <c r="A73" t="inlineStr">
        <is>
          <t>Nord</t>
        </is>
      </c>
      <c r="B73">
        <f>SUMIFS(donnees_nettoyees!$BS$2:$BS$200,donnees_nettoyees!$E$2:$E$200,A73,donnees_nettoyees!$B$2:$B$200,tableau_de_bord!$C$6,donnees_nettoyees!$C$2:$C$200,tableau_de_bord!$F$6)</f>
        <v/>
      </c>
      <c r="C73">
        <f>SUMIFS(donnees_nettoyees!$BS$2:$BS$200,donnees_nettoyees!$E$2:$E$200,A73,donnees_nettoyees!$B$2:$B$200,IF(tableau_de_bord!$C$6="Toutes","*",tableau_de_bord!$C$6),donnees_nettoyees!$C$2:$C$200,IF(tableau_de_bord!$F$6="Toutes","*",tableau_de_bord!$F$6))</f>
        <v/>
      </c>
    </row>
    <row r="74">
      <c r="A74" t="inlineStr">
        <is>
          <t>Oise</t>
        </is>
      </c>
      <c r="B74">
        <f>SUMIFS(donnees_nettoyees!$BS$2:$BS$200,donnees_nettoyees!$E$2:$E$200,A74,donnees_nettoyees!$B$2:$B$200,tableau_de_bord!$C$6,donnees_nettoyees!$C$2:$C$200,tableau_de_bord!$F$6)</f>
        <v/>
      </c>
      <c r="C74">
        <f>SUMIFS(donnees_nettoyees!$BS$2:$BS$200,donnees_nettoyees!$E$2:$E$200,A74,donnees_nettoyees!$B$2:$B$200,IF(tableau_de_bord!$C$6="Toutes","*",tableau_de_bord!$C$6),donnees_nettoyees!$C$2:$C$200,IF(tableau_de_bord!$F$6="Toutes","*",tableau_de_bord!$F$6))</f>
        <v/>
      </c>
    </row>
    <row r="75">
      <c r="A75" t="inlineStr">
        <is>
          <t>Orne</t>
        </is>
      </c>
      <c r="B75">
        <f>SUMIFS(donnees_nettoyees!$BS$2:$BS$200,donnees_nettoyees!$E$2:$E$200,A75,donnees_nettoyees!$B$2:$B$200,tableau_de_bord!$C$6,donnees_nettoyees!$C$2:$C$200,tableau_de_bord!$F$6)</f>
        <v/>
      </c>
      <c r="C75">
        <f>SUMIFS(donnees_nettoyees!$BS$2:$BS$200,donnees_nettoyees!$E$2:$E$200,A75,donnees_nettoyees!$B$2:$B$200,IF(tableau_de_bord!$C$6="Toutes","*",tableau_de_bord!$C$6),donnees_nettoyees!$C$2:$C$200,IF(tableau_de_bord!$F$6="Toutes","*",tableau_de_bord!$F$6))</f>
        <v/>
      </c>
    </row>
    <row r="76">
      <c r="A76" t="inlineStr">
        <is>
          <t>Paris</t>
        </is>
      </c>
      <c r="B76">
        <f>SUMIFS(donnees_nettoyees!$BS$2:$BS$200,donnees_nettoyees!$E$2:$E$200,A76,donnees_nettoyees!$B$2:$B$200,tableau_de_bord!$C$6,donnees_nettoyees!$C$2:$C$200,tableau_de_bord!$F$6)</f>
        <v/>
      </c>
      <c r="C76">
        <f>SUMIFS(donnees_nettoyees!$BS$2:$BS$200,donnees_nettoyees!$E$2:$E$200,A76,donnees_nettoyees!$B$2:$B$200,IF(tableau_de_bord!$C$6="Toutes","*",tableau_de_bord!$C$6),donnees_nettoyees!$C$2:$C$200,IF(tableau_de_bord!$F$6="Toutes","*",tableau_de_bord!$F$6))</f>
        <v/>
      </c>
    </row>
    <row r="77">
      <c r="A77" t="inlineStr">
        <is>
          <t>Pas-de-Calais</t>
        </is>
      </c>
      <c r="B77">
        <f>SUMIFS(donnees_nettoyees!$BS$2:$BS$200,donnees_nettoyees!$E$2:$E$200,A77,donnees_nettoyees!$B$2:$B$200,tableau_de_bord!$C$6,donnees_nettoyees!$C$2:$C$200,tableau_de_bord!$F$6)</f>
        <v/>
      </c>
      <c r="C77">
        <f>SUMIFS(donnees_nettoyees!$BS$2:$BS$200,donnees_nettoyees!$E$2:$E$200,A77,donnees_nettoyees!$B$2:$B$200,IF(tableau_de_bord!$C$6="Toutes","*",tableau_de_bord!$C$6),donnees_nettoyees!$C$2:$C$200,IF(tableau_de_bord!$F$6="Toutes","*",tableau_de_bord!$F$6))</f>
        <v/>
      </c>
    </row>
    <row r="78">
      <c r="A78" t="inlineStr">
        <is>
          <t>Puy-de-D�me</t>
        </is>
      </c>
      <c r="B78">
        <f>SUMIFS(donnees_nettoyees!$BS$2:$BS$200,donnees_nettoyees!$E$2:$E$200,A78,donnees_nettoyees!$B$2:$B$200,tableau_de_bord!$C$6,donnees_nettoyees!$C$2:$C$200,tableau_de_bord!$F$6)</f>
        <v/>
      </c>
      <c r="C78">
        <f>SUMIFS(donnees_nettoyees!$BS$2:$BS$200,donnees_nettoyees!$E$2:$E$200,A78,donnees_nettoyees!$B$2:$B$200,IF(tableau_de_bord!$C$6="Toutes","*",tableau_de_bord!$C$6),donnees_nettoyees!$C$2:$C$200,IF(tableau_de_bord!$F$6="Toutes","*",tableau_de_bord!$F$6))</f>
        <v/>
      </c>
    </row>
    <row r="79">
      <c r="A79" t="inlineStr">
        <is>
          <t>Pyr�n�es-Atlantiques</t>
        </is>
      </c>
      <c r="B79">
        <f>SUMIFS(donnees_nettoyees!$BS$2:$BS$200,donnees_nettoyees!$E$2:$E$200,A79,donnees_nettoyees!$B$2:$B$200,tableau_de_bord!$C$6,donnees_nettoyees!$C$2:$C$200,tableau_de_bord!$F$6)</f>
        <v/>
      </c>
      <c r="C79">
        <f>SUMIFS(donnees_nettoyees!$BS$2:$BS$200,donnees_nettoyees!$E$2:$E$200,A79,donnees_nettoyees!$B$2:$B$200,IF(tableau_de_bord!$C$6="Toutes","*",tableau_de_bord!$C$6),donnees_nettoyees!$C$2:$C$200,IF(tableau_de_bord!$F$6="Toutes","*",tableau_de_bord!$F$6))</f>
        <v/>
      </c>
    </row>
    <row r="80">
      <c r="A80" t="inlineStr">
        <is>
          <t>Pyr�n�es-Orientales</t>
        </is>
      </c>
      <c r="B80">
        <f>SUMIFS(donnees_nettoyees!$BS$2:$BS$200,donnees_nettoyees!$E$2:$E$200,A80,donnees_nettoyees!$B$2:$B$200,tableau_de_bord!$C$6,donnees_nettoyees!$C$2:$C$200,tableau_de_bord!$F$6)</f>
        <v/>
      </c>
      <c r="C80">
        <f>SUMIFS(donnees_nettoyees!$BS$2:$BS$200,donnees_nettoyees!$E$2:$E$200,A80,donnees_nettoyees!$B$2:$B$200,IF(tableau_de_bord!$C$6="Toutes","*",tableau_de_bord!$C$6),donnees_nettoyees!$C$2:$C$200,IF(tableau_de_bord!$F$6="Toutes","*",tableau_de_bord!$F$6))</f>
        <v/>
      </c>
    </row>
    <row r="81">
      <c r="A81" t="inlineStr">
        <is>
          <t>Rh�ne</t>
        </is>
      </c>
      <c r="B81">
        <f>SUMIFS(donnees_nettoyees!$BS$2:$BS$200,donnees_nettoyees!$E$2:$E$200,A81,donnees_nettoyees!$B$2:$B$200,tableau_de_bord!$C$6,donnees_nettoyees!$C$2:$C$200,tableau_de_bord!$F$6)</f>
        <v/>
      </c>
      <c r="C81">
        <f>SUMIFS(donnees_nettoyees!$BS$2:$BS$200,donnees_nettoyees!$E$2:$E$200,A81,donnees_nettoyees!$B$2:$B$200,IF(tableau_de_bord!$C$6="Toutes","*",tableau_de_bord!$C$6),donnees_nettoyees!$C$2:$C$200,IF(tableau_de_bord!$F$6="Toutes","*",tableau_de_bord!$F$6))</f>
        <v/>
      </c>
    </row>
    <row r="82">
      <c r="A82" t="inlineStr">
        <is>
          <t>R�union</t>
        </is>
      </c>
      <c r="B82">
        <f>SUMIFS(donnees_nettoyees!$BS$2:$BS$200,donnees_nettoyees!$E$2:$E$200,A82,donnees_nettoyees!$B$2:$B$200,tableau_de_bord!$C$6,donnees_nettoyees!$C$2:$C$200,tableau_de_bord!$F$6)</f>
        <v/>
      </c>
      <c r="C82">
        <f>SUMIFS(donnees_nettoyees!$BS$2:$BS$200,donnees_nettoyees!$E$2:$E$200,A82,donnees_nettoyees!$B$2:$B$200,IF(tableau_de_bord!$C$6="Toutes","*",tableau_de_bord!$C$6),donnees_nettoyees!$C$2:$C$200,IF(tableau_de_bord!$F$6="Toutes","*",tableau_de_bord!$F$6))</f>
        <v/>
      </c>
    </row>
    <row r="83">
      <c r="A83" t="inlineStr">
        <is>
          <t>Sarthe</t>
        </is>
      </c>
      <c r="B83">
        <f>SUMIFS(donnees_nettoyees!$BS$2:$BS$200,donnees_nettoyees!$E$2:$E$200,A83,donnees_nettoyees!$B$2:$B$200,tableau_de_bord!$C$6,donnees_nettoyees!$C$2:$C$200,tableau_de_bord!$F$6)</f>
        <v/>
      </c>
      <c r="C83">
        <f>SUMIFS(donnees_nettoyees!$BS$2:$BS$200,donnees_nettoyees!$E$2:$E$200,A83,donnees_nettoyees!$B$2:$B$200,IF(tableau_de_bord!$C$6="Toutes","*",tableau_de_bord!$C$6),donnees_nettoyees!$C$2:$C$200,IF(tableau_de_bord!$F$6="Toutes","*",tableau_de_bord!$F$6))</f>
        <v/>
      </c>
    </row>
    <row r="84">
      <c r="A84" t="inlineStr">
        <is>
          <t>Savoie</t>
        </is>
      </c>
      <c r="B84">
        <f>SUMIFS(donnees_nettoyees!$BS$2:$BS$200,donnees_nettoyees!$E$2:$E$200,A84,donnees_nettoyees!$B$2:$B$200,tableau_de_bord!$C$6,donnees_nettoyees!$C$2:$C$200,tableau_de_bord!$F$6)</f>
        <v/>
      </c>
      <c r="C84">
        <f>SUMIFS(donnees_nettoyees!$BS$2:$BS$200,donnees_nettoyees!$E$2:$E$200,A84,donnees_nettoyees!$B$2:$B$200,IF(tableau_de_bord!$C$6="Toutes","*",tableau_de_bord!$C$6),donnees_nettoyees!$C$2:$C$200,IF(tableau_de_bord!$F$6="Toutes","*",tableau_de_bord!$F$6))</f>
        <v/>
      </c>
    </row>
    <row r="85">
      <c r="A85" t="inlineStr">
        <is>
          <t>Sa�ne-et-Loire</t>
        </is>
      </c>
      <c r="B85">
        <f>SUMIFS(donnees_nettoyees!$BS$2:$BS$200,donnees_nettoyees!$E$2:$E$200,A85,donnees_nettoyees!$B$2:$B$200,tableau_de_bord!$C$6,donnees_nettoyees!$C$2:$C$200,tableau_de_bord!$F$6)</f>
        <v/>
      </c>
      <c r="C85">
        <f>SUMIFS(donnees_nettoyees!$BS$2:$BS$200,donnees_nettoyees!$E$2:$E$200,A85,donnees_nettoyees!$B$2:$B$200,IF(tableau_de_bord!$C$6="Toutes","*",tableau_de_bord!$C$6),donnees_nettoyees!$C$2:$C$200,IF(tableau_de_bord!$F$6="Toutes","*",tableau_de_bord!$F$6))</f>
        <v/>
      </c>
    </row>
    <row r="86">
      <c r="A86" t="inlineStr">
        <is>
          <t>Seine-Maritime</t>
        </is>
      </c>
      <c r="B86">
        <f>SUMIFS(donnees_nettoyees!$BS$2:$BS$200,donnees_nettoyees!$E$2:$E$200,A86,donnees_nettoyees!$B$2:$B$200,tableau_de_bord!$C$6,donnees_nettoyees!$C$2:$C$200,tableau_de_bord!$F$6)</f>
        <v/>
      </c>
      <c r="C86">
        <f>SUMIFS(donnees_nettoyees!$BS$2:$BS$200,donnees_nettoyees!$E$2:$E$200,A86,donnees_nettoyees!$B$2:$B$200,IF(tableau_de_bord!$C$6="Toutes","*",tableau_de_bord!$C$6),donnees_nettoyees!$C$2:$C$200,IF(tableau_de_bord!$F$6="Toutes","*",tableau_de_bord!$F$6))</f>
        <v/>
      </c>
    </row>
    <row r="87">
      <c r="A87" t="inlineStr">
        <is>
          <t>Seine-et-Marne</t>
        </is>
      </c>
      <c r="B87">
        <f>SUMIFS(donnees_nettoyees!$BS$2:$BS$200,donnees_nettoyees!$E$2:$E$200,A87,donnees_nettoyees!$B$2:$B$200,tableau_de_bord!$C$6,donnees_nettoyees!$C$2:$C$200,tableau_de_bord!$F$6)</f>
        <v/>
      </c>
      <c r="C87">
        <f>SUMIFS(donnees_nettoyees!$BS$2:$BS$200,donnees_nettoyees!$E$2:$E$200,A87,donnees_nettoyees!$B$2:$B$200,IF(tableau_de_bord!$C$6="Toutes","*",tableau_de_bord!$C$6),donnees_nettoyees!$C$2:$C$200,IF(tableau_de_bord!$F$6="Toutes","*",tableau_de_bord!$F$6))</f>
        <v/>
      </c>
    </row>
    <row r="88">
      <c r="A88" t="inlineStr">
        <is>
          <t>Somme</t>
        </is>
      </c>
      <c r="B88">
        <f>SUMIFS(donnees_nettoyees!$BS$2:$BS$200,donnees_nettoyees!$E$2:$E$200,A88,donnees_nettoyees!$B$2:$B$200,tableau_de_bord!$C$6,donnees_nettoyees!$C$2:$C$200,tableau_de_bord!$F$6)</f>
        <v/>
      </c>
      <c r="C88">
        <f>SUMIFS(donnees_nettoyees!$BS$2:$BS$200,donnees_nettoyees!$E$2:$E$200,A88,donnees_nettoyees!$B$2:$B$200,IF(tableau_de_bord!$C$6="Toutes","*",tableau_de_bord!$C$6),donnees_nettoyees!$C$2:$C$200,IF(tableau_de_bord!$F$6="Toutes","*",tableau_de_bord!$F$6))</f>
        <v/>
      </c>
    </row>
    <row r="89">
      <c r="A89" t="inlineStr">
        <is>
          <t>Tarn</t>
        </is>
      </c>
      <c r="B89">
        <f>SUMIFS(donnees_nettoyees!$BS$2:$BS$200,donnees_nettoyees!$E$2:$E$200,A89,donnees_nettoyees!$B$2:$B$200,tableau_de_bord!$C$6,donnees_nettoyees!$C$2:$C$200,tableau_de_bord!$F$6)</f>
        <v/>
      </c>
      <c r="C89">
        <f>SUMIFS(donnees_nettoyees!$BS$2:$BS$200,donnees_nettoyees!$E$2:$E$200,A89,donnees_nettoyees!$B$2:$B$200,IF(tableau_de_bord!$C$6="Toutes","*",tableau_de_bord!$C$6),donnees_nettoyees!$C$2:$C$200,IF(tableau_de_bord!$F$6="Toutes","*",tableau_de_bord!$F$6))</f>
        <v/>
      </c>
    </row>
    <row r="90">
      <c r="A90" t="inlineStr">
        <is>
          <t>Tarn-et-Garonne</t>
        </is>
      </c>
      <c r="B90">
        <f>SUMIFS(donnees_nettoyees!$BS$2:$BS$200,donnees_nettoyees!$E$2:$E$200,A90,donnees_nettoyees!$B$2:$B$200,tableau_de_bord!$C$6,donnees_nettoyees!$C$2:$C$200,tableau_de_bord!$F$6)</f>
        <v/>
      </c>
      <c r="C90">
        <f>SUMIFS(donnees_nettoyees!$BS$2:$BS$200,donnees_nettoyees!$E$2:$E$200,A90,donnees_nettoyees!$B$2:$B$200,IF(tableau_de_bord!$C$6="Toutes","*",tableau_de_bord!$C$6),donnees_nettoyees!$C$2:$C$200,IF(tableau_de_bord!$F$6="Toutes","*",tableau_de_bord!$F$6))</f>
        <v/>
      </c>
    </row>
    <row r="91">
      <c r="A91" t="inlineStr">
        <is>
          <t>Territoire-de-Belfort</t>
        </is>
      </c>
      <c r="B91">
        <f>SUMIFS(donnees_nettoyees!$BS$2:$BS$200,donnees_nettoyees!$E$2:$E$200,A91,donnees_nettoyees!$B$2:$B$200,tableau_de_bord!$C$6,donnees_nettoyees!$C$2:$C$200,tableau_de_bord!$F$6)</f>
        <v/>
      </c>
      <c r="C91">
        <f>SUMIFS(donnees_nettoyees!$BS$2:$BS$200,donnees_nettoyees!$E$2:$E$200,A91,donnees_nettoyees!$B$2:$B$200,IF(tableau_de_bord!$C$6="Toutes","*",tableau_de_bord!$C$6),donnees_nettoyees!$C$2:$C$200,IF(tableau_de_bord!$F$6="Toutes","*",tableau_de_bord!$F$6))</f>
        <v/>
      </c>
    </row>
    <row r="92">
      <c r="A92" t="inlineStr">
        <is>
          <t>Val-d'Oise</t>
        </is>
      </c>
      <c r="B92">
        <f>SUMIFS(donnees_nettoyees!$BS$2:$BS$200,donnees_nettoyees!$E$2:$E$200,A92,donnees_nettoyees!$B$2:$B$200,tableau_de_bord!$C$6,donnees_nettoyees!$C$2:$C$200,tableau_de_bord!$F$6)</f>
        <v/>
      </c>
      <c r="C92">
        <f>SUMIFS(donnees_nettoyees!$BS$2:$BS$200,donnees_nettoyees!$E$2:$E$200,A92,donnees_nettoyees!$B$2:$B$200,IF(tableau_de_bord!$C$6="Toutes","*",tableau_de_bord!$C$6),donnees_nettoyees!$C$2:$C$200,IF(tableau_de_bord!$F$6="Toutes","*",tableau_de_bord!$F$6))</f>
        <v/>
      </c>
    </row>
    <row r="93">
      <c r="A93" t="inlineStr">
        <is>
          <t>Var</t>
        </is>
      </c>
      <c r="B93">
        <f>SUMIFS(donnees_nettoyees!$BS$2:$BS$200,donnees_nettoyees!$E$2:$E$200,A93,donnees_nettoyees!$B$2:$B$200,tableau_de_bord!$C$6,donnees_nettoyees!$C$2:$C$200,tableau_de_bord!$F$6)</f>
        <v/>
      </c>
      <c r="C93">
        <f>SUMIFS(donnees_nettoyees!$BS$2:$BS$200,donnees_nettoyees!$E$2:$E$200,A93,donnees_nettoyees!$B$2:$B$200,IF(tableau_de_bord!$C$6="Toutes","*",tableau_de_bord!$C$6),donnees_nettoyees!$C$2:$C$200,IF(tableau_de_bord!$F$6="Toutes","*",tableau_de_bord!$F$6))</f>
        <v/>
      </c>
    </row>
    <row r="94">
      <c r="A94" t="inlineStr">
        <is>
          <t>Vaucluse</t>
        </is>
      </c>
      <c r="B94">
        <f>SUMIFS(donnees_nettoyees!$BS$2:$BS$200,donnees_nettoyees!$E$2:$E$200,A94,donnees_nettoyees!$B$2:$B$200,tableau_de_bord!$C$6,donnees_nettoyees!$C$2:$C$200,tableau_de_bord!$F$6)</f>
        <v/>
      </c>
      <c r="C94">
        <f>SUMIFS(donnees_nettoyees!$BS$2:$BS$200,donnees_nettoyees!$E$2:$E$200,A94,donnees_nettoyees!$B$2:$B$200,IF(tableau_de_bord!$C$6="Toutes","*",tableau_de_bord!$C$6),donnees_nettoyees!$C$2:$C$200,IF(tableau_de_bord!$F$6="Toutes","*",tableau_de_bord!$F$6))</f>
        <v/>
      </c>
    </row>
    <row r="95">
      <c r="A95" t="inlineStr">
        <is>
          <t>Vend�e</t>
        </is>
      </c>
      <c r="B95">
        <f>SUMIFS(donnees_nettoyees!$BS$2:$BS$200,donnees_nettoyees!$E$2:$E$200,A95,donnees_nettoyees!$B$2:$B$200,tableau_de_bord!$C$6,donnees_nettoyees!$C$2:$C$200,tableau_de_bord!$F$6)</f>
        <v/>
      </c>
      <c r="C95">
        <f>SUMIFS(donnees_nettoyees!$BS$2:$BS$200,donnees_nettoyees!$E$2:$E$200,A95,donnees_nettoyees!$B$2:$B$200,IF(tableau_de_bord!$C$6="Toutes","*",tableau_de_bord!$C$6),donnees_nettoyees!$C$2:$C$200,IF(tableau_de_bord!$F$6="Toutes","*",tableau_de_bord!$F$6))</f>
        <v/>
      </c>
    </row>
    <row r="96">
      <c r="A96" t="inlineStr">
        <is>
          <t>Vienne</t>
        </is>
      </c>
      <c r="B96">
        <f>SUMIFS(donnees_nettoyees!$BS$2:$BS$200,donnees_nettoyees!$E$2:$E$200,A96,donnees_nettoyees!$B$2:$B$200,tableau_de_bord!$C$6,donnees_nettoyees!$C$2:$C$200,tableau_de_bord!$F$6)</f>
        <v/>
      </c>
      <c r="C96">
        <f>SUMIFS(donnees_nettoyees!$BS$2:$BS$200,donnees_nettoyees!$E$2:$E$200,A96,donnees_nettoyees!$B$2:$B$200,IF(tableau_de_bord!$C$6="Toutes","*",tableau_de_bord!$C$6),donnees_nettoyees!$C$2:$C$200,IF(tableau_de_bord!$F$6="Toutes","*",tableau_de_bord!$F$6))</f>
        <v/>
      </c>
    </row>
    <row r="97">
      <c r="A97" t="inlineStr">
        <is>
          <t>Vosges</t>
        </is>
      </c>
      <c r="B97">
        <f>SUMIFS(donnees_nettoyees!$BS$2:$BS$200,donnees_nettoyees!$E$2:$E$200,A97,donnees_nettoyees!$B$2:$B$200,tableau_de_bord!$C$6,donnees_nettoyees!$C$2:$C$200,tableau_de_bord!$F$6)</f>
        <v/>
      </c>
      <c r="C97">
        <f>SUMIFS(donnees_nettoyees!$BS$2:$BS$200,donnees_nettoyees!$E$2:$E$200,A97,donnees_nettoyees!$B$2:$B$200,IF(tableau_de_bord!$C$6="Toutes","*",tableau_de_bord!$C$6),donnees_nettoyees!$C$2:$C$200,IF(tableau_de_bord!$F$6="Toutes","*",tableau_de_bord!$F$6))</f>
        <v/>
      </c>
    </row>
    <row r="98">
      <c r="A98" t="inlineStr">
        <is>
          <t>Yonne</t>
        </is>
      </c>
      <c r="B98">
        <f>SUMIFS(donnees_nettoyees!$BS$2:$BS$200,donnees_nettoyees!$E$2:$E$200,A98,donnees_nettoyees!$B$2:$B$200,tableau_de_bord!$C$6,donnees_nettoyees!$C$2:$C$200,tableau_de_bord!$F$6)</f>
        <v/>
      </c>
      <c r="C98">
        <f>SUMIFS(donnees_nettoyees!$BS$2:$BS$200,donnees_nettoyees!$E$2:$E$200,A98,donnees_nettoyees!$B$2:$B$200,IF(tableau_de_bord!$C$6="Toutes","*",tableau_de_bord!$C$6),donnees_nettoyees!$C$2:$C$200,IF(tableau_de_bord!$F$6="Toutes","*",tableau_de_bord!$F$6))</f>
        <v/>
      </c>
    </row>
    <row r="99">
      <c r="A99" t="inlineStr">
        <is>
          <t>Yvelines</t>
        </is>
      </c>
      <c r="B99">
        <f>SUMIFS(donnees_nettoyees!$BS$2:$BS$200,donnees_nettoyees!$E$2:$E$200,A99,donnees_nettoyees!$B$2:$B$200,tableau_de_bord!$C$6,donnees_nettoyees!$C$2:$C$200,tableau_de_bord!$F$6)</f>
        <v/>
      </c>
      <c r="C99">
        <f>SUMIFS(donnees_nettoyees!$BS$2:$BS$200,donnees_nettoyees!$E$2:$E$200,A99,donnees_nettoyees!$B$2:$B$200,IF(tableau_de_bord!$C$6="Toutes","*",tableau_de_bord!$C$6),donnees_nettoyees!$C$2:$C$200,IF(tableau_de_bord!$F$6="Toutes","*",tableau_de_bord!$F$6))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2026-06-02T09:45:40Z</dcterms:created>
  <dcterms:modified xsi:type="dcterms:W3CDTF">2026-06-02T09:45:40Z</dcterms:modified>
</cp:coreProperties>
</file>